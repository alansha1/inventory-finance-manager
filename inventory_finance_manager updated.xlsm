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6922a0383785961/Desktop/inventory-finance-manger/"/>
    </mc:Choice>
  </mc:AlternateContent>
  <xr:revisionPtr revIDLastSave="0" documentId="8_{33FD3914-F306-409B-95F3-9C8B17069478}" xr6:coauthVersionLast="47" xr6:coauthVersionMax="47" xr10:uidLastSave="{00000000-0000-0000-0000-000000000000}"/>
  <bookViews>
    <workbookView xWindow="-108" yWindow="-108" windowWidth="23256" windowHeight="12456" tabRatio="500" firstSheet="7" activeTab="1" xr2:uid="{00000000-000D-0000-FFFF-FFFF00000000}"/>
  </bookViews>
  <sheets>
    <sheet name="Lists" sheetId="1" state="hidden" r:id="rId1"/>
    <sheet name="SupplierData" sheetId="8" r:id="rId2"/>
    <sheet name="SupplierData_1" sheetId="15" r:id="rId3"/>
    <sheet name="Suppliers" sheetId="2" r:id="rId4"/>
    <sheet name="Inventory" sheetId="3" r:id="rId5"/>
    <sheet name="InventoryWithSupplierInfo" sheetId="9" r:id="rId6"/>
    <sheet name="POData" sheetId="13" r:id="rId7"/>
    <sheet name="POData_1 (2)" sheetId="16" r:id="rId8"/>
    <sheet name="PurchaseOrders" sheetId="4" r:id="rId9"/>
    <sheet name="BudgetModel" sheetId="5" r:id="rId10"/>
    <sheet name="Dashboard" sheetId="6" r:id="rId11"/>
  </sheets>
  <definedNames>
    <definedName name="ExternalData_1" localSheetId="5" hidden="1">InventoryWithSupplierInfo!$A$1:$N$55</definedName>
    <definedName name="ExternalData_1" localSheetId="6" hidden="1">POData!$A$1:$J$61</definedName>
    <definedName name="ExternalData_1" localSheetId="1" hidden="1">SupplierData!$A$1:$E$7</definedName>
    <definedName name="ExternalData_2" localSheetId="7" hidden="1">'POData_1 (2)'!$A$1:$J$61</definedName>
    <definedName name="ExternalData_2" localSheetId="2" hidden="1">SupplierData_1!$A$1:$E$7</definedName>
  </definedNames>
  <calcPr calcId="191029" iterateDelta="1E-4"/>
  <extLst>
    <ext xmlns:x15="http://schemas.microsoft.com/office/spreadsheetml/2010/11/main" uri="{FCE2AD5D-F65C-4FA6-A056-5C36A1767C68}">
      <x15:dataModel>
        <x15:modelTables>
          <x15:modelTable id="InventoryData_c8dacdc4-12ff-484f-b4ba-00250473898c" name="InventoryData" connection="Query - InventoryData"/>
          <x15:modelTable id="SupplierData_1_2057f08f-536d-497b-bf54-0d96052b7d5f" name="SupplierData_1" connection="Query - SupplierData_1"/>
          <x15:modelTable id="POData_1  2_4296d6ce-3a15-4999-a060-03bffcd9fbf1" name="POData_1  2" connection="Query - POData_1 (2)"/>
        </x15:modelTables>
        <x15:modelRelationships>
          <x15:modelRelationship fromTable="InventoryData" fromColumn="ItemID" toTable="POData_1  2" toColumn="POID"/>
          <x15:modelRelationship fromTable="InventoryData" fromColumn="ItemID" toTable="SupplierData_1" toColumn="SupplierID"/>
        </x15:modelRelationships>
      </x15:dataModel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61" i="4" l="1"/>
  <c r="I61" i="4"/>
  <c r="H61" i="4"/>
  <c r="F61" i="4"/>
  <c r="E61" i="4"/>
  <c r="D61" i="4"/>
  <c r="J60" i="4"/>
  <c r="H60" i="4"/>
  <c r="I60" i="4" s="1"/>
  <c r="F60" i="4"/>
  <c r="E60" i="4"/>
  <c r="D60" i="4"/>
  <c r="J59" i="4"/>
  <c r="H59" i="4"/>
  <c r="I59" i="4" s="1"/>
  <c r="F59" i="4"/>
  <c r="E59" i="4"/>
  <c r="D59" i="4"/>
  <c r="J58" i="4"/>
  <c r="H58" i="4"/>
  <c r="I58" i="4" s="1"/>
  <c r="F58" i="4"/>
  <c r="E58" i="4"/>
  <c r="D58" i="4"/>
  <c r="J57" i="4"/>
  <c r="I57" i="4"/>
  <c r="H57" i="4"/>
  <c r="F57" i="4"/>
  <c r="E57" i="4"/>
  <c r="D57" i="4"/>
  <c r="J56" i="4"/>
  <c r="H56" i="4"/>
  <c r="I56" i="4" s="1"/>
  <c r="F56" i="4"/>
  <c r="E56" i="4"/>
  <c r="D56" i="4"/>
  <c r="J55" i="4"/>
  <c r="H55" i="4"/>
  <c r="I55" i="4" s="1"/>
  <c r="F55" i="4"/>
  <c r="E55" i="4"/>
  <c r="D55" i="4"/>
  <c r="J54" i="4"/>
  <c r="H54" i="4"/>
  <c r="I54" i="4" s="1"/>
  <c r="F54" i="4"/>
  <c r="E54" i="4"/>
  <c r="D54" i="4"/>
  <c r="J53" i="4"/>
  <c r="I53" i="4"/>
  <c r="H53" i="4"/>
  <c r="F53" i="4"/>
  <c r="E53" i="4"/>
  <c r="D53" i="4"/>
  <c r="J52" i="4"/>
  <c r="H52" i="4"/>
  <c r="I52" i="4" s="1"/>
  <c r="F52" i="4"/>
  <c r="E52" i="4"/>
  <c r="D52" i="4"/>
  <c r="J51" i="4"/>
  <c r="H51" i="4"/>
  <c r="I51" i="4" s="1"/>
  <c r="F51" i="4"/>
  <c r="E51" i="4"/>
  <c r="D51" i="4"/>
  <c r="J50" i="4"/>
  <c r="H50" i="4"/>
  <c r="I50" i="4" s="1"/>
  <c r="F50" i="4"/>
  <c r="E50" i="4"/>
  <c r="D50" i="4"/>
  <c r="J49" i="4"/>
  <c r="I49" i="4"/>
  <c r="H49" i="4"/>
  <c r="F49" i="4"/>
  <c r="E49" i="4"/>
  <c r="D49" i="4"/>
  <c r="J48" i="4"/>
  <c r="H48" i="4"/>
  <c r="I48" i="4" s="1"/>
  <c r="F48" i="4"/>
  <c r="E48" i="4"/>
  <c r="D48" i="4"/>
  <c r="J47" i="4"/>
  <c r="H47" i="4"/>
  <c r="I47" i="4" s="1"/>
  <c r="F47" i="4"/>
  <c r="E47" i="4"/>
  <c r="D47" i="4"/>
  <c r="J46" i="4"/>
  <c r="H46" i="4"/>
  <c r="I46" i="4" s="1"/>
  <c r="F46" i="4"/>
  <c r="E46" i="4"/>
  <c r="D46" i="4"/>
  <c r="J45" i="4"/>
  <c r="I45" i="4"/>
  <c r="H45" i="4"/>
  <c r="F45" i="4"/>
  <c r="E45" i="4"/>
  <c r="D45" i="4"/>
  <c r="J44" i="4"/>
  <c r="H44" i="4"/>
  <c r="I44" i="4" s="1"/>
  <c r="F44" i="4"/>
  <c r="E44" i="4"/>
  <c r="D44" i="4"/>
  <c r="J43" i="4"/>
  <c r="H43" i="4"/>
  <c r="I43" i="4" s="1"/>
  <c r="F43" i="4"/>
  <c r="E43" i="4"/>
  <c r="D43" i="4"/>
  <c r="J42" i="4"/>
  <c r="H42" i="4"/>
  <c r="I42" i="4" s="1"/>
  <c r="F42" i="4"/>
  <c r="E42" i="4"/>
  <c r="D42" i="4"/>
  <c r="J41" i="4"/>
  <c r="H41" i="4"/>
  <c r="I41" i="4" s="1"/>
  <c r="F41" i="4"/>
  <c r="E41" i="4"/>
  <c r="D41" i="4"/>
  <c r="J40" i="4"/>
  <c r="H40" i="4"/>
  <c r="I40" i="4" s="1"/>
  <c r="F40" i="4"/>
  <c r="E40" i="4"/>
  <c r="D40" i="4"/>
  <c r="J39" i="4"/>
  <c r="H39" i="4"/>
  <c r="I39" i="4" s="1"/>
  <c r="F39" i="4"/>
  <c r="E39" i="4"/>
  <c r="D39" i="4"/>
  <c r="J38" i="4"/>
  <c r="H38" i="4"/>
  <c r="I38" i="4" s="1"/>
  <c r="F38" i="4"/>
  <c r="E38" i="4"/>
  <c r="D38" i="4"/>
  <c r="J37" i="4"/>
  <c r="H37" i="4"/>
  <c r="I37" i="4" s="1"/>
  <c r="F37" i="4"/>
  <c r="E37" i="4"/>
  <c r="D37" i="4"/>
  <c r="J36" i="4"/>
  <c r="H36" i="4"/>
  <c r="I36" i="4" s="1"/>
  <c r="F36" i="4"/>
  <c r="E36" i="4"/>
  <c r="D36" i="4"/>
  <c r="J35" i="4"/>
  <c r="H35" i="4"/>
  <c r="I35" i="4" s="1"/>
  <c r="F35" i="4"/>
  <c r="E35" i="4"/>
  <c r="D35" i="4"/>
  <c r="J34" i="4"/>
  <c r="H34" i="4"/>
  <c r="I34" i="4" s="1"/>
  <c r="F34" i="4"/>
  <c r="E34" i="4"/>
  <c r="D34" i="4"/>
  <c r="J33" i="4"/>
  <c r="H33" i="4"/>
  <c r="I33" i="4" s="1"/>
  <c r="F33" i="4"/>
  <c r="E33" i="4"/>
  <c r="D33" i="4"/>
  <c r="J32" i="4"/>
  <c r="H32" i="4"/>
  <c r="I32" i="4" s="1"/>
  <c r="F32" i="4"/>
  <c r="E32" i="4"/>
  <c r="D32" i="4"/>
  <c r="J31" i="4"/>
  <c r="H31" i="4"/>
  <c r="I31" i="4" s="1"/>
  <c r="F31" i="4"/>
  <c r="E31" i="4"/>
  <c r="D31" i="4"/>
  <c r="J30" i="4"/>
  <c r="H30" i="4"/>
  <c r="I30" i="4" s="1"/>
  <c r="F30" i="4"/>
  <c r="E30" i="4"/>
  <c r="D30" i="4"/>
  <c r="J29" i="4"/>
  <c r="H29" i="4"/>
  <c r="I29" i="4" s="1"/>
  <c r="F29" i="4"/>
  <c r="E29" i="4"/>
  <c r="D29" i="4"/>
  <c r="J28" i="4"/>
  <c r="H28" i="4"/>
  <c r="I28" i="4" s="1"/>
  <c r="F28" i="4"/>
  <c r="E28" i="4"/>
  <c r="D28" i="4"/>
  <c r="J27" i="4"/>
  <c r="H27" i="4"/>
  <c r="I27" i="4" s="1"/>
  <c r="F27" i="4"/>
  <c r="E27" i="4"/>
  <c r="D27" i="4"/>
  <c r="J26" i="4"/>
  <c r="H26" i="4"/>
  <c r="I26" i="4" s="1"/>
  <c r="F26" i="4"/>
  <c r="E26" i="4"/>
  <c r="D26" i="4"/>
  <c r="J25" i="4"/>
  <c r="H25" i="4"/>
  <c r="I25" i="4" s="1"/>
  <c r="F25" i="4"/>
  <c r="E25" i="4"/>
  <c r="D25" i="4"/>
  <c r="J24" i="4"/>
  <c r="H24" i="4"/>
  <c r="I24" i="4" s="1"/>
  <c r="F24" i="4"/>
  <c r="E24" i="4"/>
  <c r="D24" i="4"/>
  <c r="J23" i="4"/>
  <c r="H23" i="4"/>
  <c r="I23" i="4" s="1"/>
  <c r="F23" i="4"/>
  <c r="E23" i="4"/>
  <c r="D23" i="4"/>
  <c r="J22" i="4"/>
  <c r="H22" i="4"/>
  <c r="I22" i="4" s="1"/>
  <c r="F22" i="4"/>
  <c r="E22" i="4"/>
  <c r="D22" i="4"/>
  <c r="J21" i="4"/>
  <c r="H21" i="4"/>
  <c r="I21" i="4" s="1"/>
  <c r="F21" i="4"/>
  <c r="E21" i="4"/>
  <c r="D21" i="4"/>
  <c r="J20" i="4"/>
  <c r="H20" i="4"/>
  <c r="I20" i="4" s="1"/>
  <c r="F20" i="4"/>
  <c r="E20" i="4"/>
  <c r="D20" i="4"/>
  <c r="J19" i="4"/>
  <c r="H19" i="4"/>
  <c r="I19" i="4" s="1"/>
  <c r="F19" i="4"/>
  <c r="E19" i="4"/>
  <c r="D19" i="4"/>
  <c r="J18" i="4"/>
  <c r="H18" i="4"/>
  <c r="I18" i="4" s="1"/>
  <c r="F18" i="4"/>
  <c r="E18" i="4"/>
  <c r="D18" i="4"/>
  <c r="J17" i="4"/>
  <c r="H17" i="4"/>
  <c r="I17" i="4" s="1"/>
  <c r="F17" i="4"/>
  <c r="E17" i="4"/>
  <c r="D17" i="4"/>
  <c r="J16" i="4"/>
  <c r="H16" i="4"/>
  <c r="I16" i="4" s="1"/>
  <c r="F16" i="4"/>
  <c r="E16" i="4"/>
  <c r="D16" i="4"/>
  <c r="J15" i="4"/>
  <c r="H15" i="4"/>
  <c r="I15" i="4" s="1"/>
  <c r="F15" i="4"/>
  <c r="E15" i="4"/>
  <c r="D15" i="4"/>
  <c r="J14" i="4"/>
  <c r="H14" i="4"/>
  <c r="I14" i="4" s="1"/>
  <c r="F14" i="4"/>
  <c r="E14" i="4"/>
  <c r="D14" i="4"/>
  <c r="J13" i="4"/>
  <c r="H13" i="4"/>
  <c r="I13" i="4" s="1"/>
  <c r="F13" i="4"/>
  <c r="E13" i="4"/>
  <c r="D13" i="4"/>
  <c r="J12" i="4"/>
  <c r="H12" i="4"/>
  <c r="I12" i="4" s="1"/>
  <c r="F12" i="4"/>
  <c r="E12" i="4"/>
  <c r="D12" i="4"/>
  <c r="J11" i="4"/>
  <c r="H11" i="4"/>
  <c r="I11" i="4" s="1"/>
  <c r="F11" i="4"/>
  <c r="E11" i="4"/>
  <c r="D11" i="4"/>
  <c r="J10" i="4"/>
  <c r="H10" i="4"/>
  <c r="I10" i="4" s="1"/>
  <c r="F10" i="4"/>
  <c r="E10" i="4"/>
  <c r="D10" i="4"/>
  <c r="J9" i="4"/>
  <c r="H9" i="4"/>
  <c r="I9" i="4" s="1"/>
  <c r="F9" i="4"/>
  <c r="E9" i="4"/>
  <c r="D9" i="4"/>
  <c r="J8" i="4"/>
  <c r="H8" i="4"/>
  <c r="I8" i="4" s="1"/>
  <c r="F8" i="4"/>
  <c r="E8" i="4"/>
  <c r="D8" i="4"/>
  <c r="J7" i="4"/>
  <c r="H7" i="4"/>
  <c r="I7" i="4" s="1"/>
  <c r="F7" i="4"/>
  <c r="E7" i="4"/>
  <c r="D7" i="4"/>
  <c r="J6" i="4"/>
  <c r="H6" i="4"/>
  <c r="I6" i="4" s="1"/>
  <c r="F6" i="4"/>
  <c r="E6" i="4"/>
  <c r="D6" i="4"/>
  <c r="J5" i="4"/>
  <c r="H5" i="4"/>
  <c r="I5" i="4" s="1"/>
  <c r="F5" i="4"/>
  <c r="E5" i="4"/>
  <c r="D5" i="4"/>
  <c r="J4" i="4"/>
  <c r="H4" i="4"/>
  <c r="I4" i="4" s="1"/>
  <c r="F4" i="4"/>
  <c r="E4" i="4"/>
  <c r="D4" i="4"/>
  <c r="J3" i="4"/>
  <c r="H3" i="4"/>
  <c r="I3" i="4" s="1"/>
  <c r="F3" i="4"/>
  <c r="E3" i="4"/>
  <c r="D3" i="4"/>
  <c r="J2" i="4"/>
  <c r="H10" i="6" s="1"/>
  <c r="H2" i="4"/>
  <c r="I2" i="4" s="1"/>
  <c r="F2" i="4"/>
  <c r="E2" i="4"/>
  <c r="E19" i="5" s="1"/>
  <c r="E27" i="5" s="1"/>
  <c r="D2" i="4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B32" i="5" s="1"/>
  <c r="K2" i="3"/>
  <c r="J2" i="3"/>
  <c r="B3" i="6" s="1"/>
  <c r="B6" i="6" l="1"/>
  <c r="D14" i="5"/>
  <c r="D22" i="5" s="1"/>
  <c r="F15" i="5"/>
  <c r="F23" i="5" s="1"/>
  <c r="B17" i="5"/>
  <c r="B25" i="5" s="1"/>
  <c r="D18" i="5"/>
  <c r="D26" i="5" s="1"/>
  <c r="F19" i="5"/>
  <c r="F27" i="5" s="1"/>
  <c r="E7" i="6"/>
  <c r="E14" i="5"/>
  <c r="E22" i="5" s="1"/>
  <c r="G15" i="5"/>
  <c r="G23" i="5" s="1"/>
  <c r="C17" i="5"/>
  <c r="C25" i="5" s="1"/>
  <c r="E18" i="5"/>
  <c r="E26" i="5" s="1"/>
  <c r="G19" i="5"/>
  <c r="G27" i="5" s="1"/>
  <c r="B4" i="6"/>
  <c r="H7" i="6"/>
  <c r="F14" i="5"/>
  <c r="F22" i="5" s="1"/>
  <c r="B16" i="5"/>
  <c r="B24" i="5" s="1"/>
  <c r="D17" i="5"/>
  <c r="D25" i="5" s="1"/>
  <c r="F18" i="5"/>
  <c r="F26" i="5" s="1"/>
  <c r="B5" i="6"/>
  <c r="E8" i="6"/>
  <c r="G14" i="5"/>
  <c r="G22" i="5" s="1"/>
  <c r="C16" i="5"/>
  <c r="C24" i="5" s="1"/>
  <c r="E17" i="5"/>
  <c r="E25" i="5" s="1"/>
  <c r="G18" i="5"/>
  <c r="G26" i="5" s="1"/>
  <c r="E5" i="6"/>
  <c r="H8" i="6"/>
  <c r="B15" i="5"/>
  <c r="B23" i="5" s="1"/>
  <c r="D16" i="5"/>
  <c r="D24" i="5" s="1"/>
  <c r="F17" i="5"/>
  <c r="F25" i="5" s="1"/>
  <c r="B19" i="5"/>
  <c r="B27" i="5" s="1"/>
  <c r="H5" i="6"/>
  <c r="E9" i="6"/>
  <c r="C15" i="5"/>
  <c r="C23" i="5" s="1"/>
  <c r="E16" i="5"/>
  <c r="E24" i="5" s="1"/>
  <c r="G17" i="5"/>
  <c r="G25" i="5" s="1"/>
  <c r="C19" i="5"/>
  <c r="C27" i="5" s="1"/>
  <c r="H9" i="6"/>
  <c r="B14" i="5"/>
  <c r="B22" i="5" s="1"/>
  <c r="D15" i="5"/>
  <c r="D23" i="5" s="1"/>
  <c r="F16" i="5"/>
  <c r="F24" i="5" s="1"/>
  <c r="B18" i="5"/>
  <c r="B26" i="5" s="1"/>
  <c r="D19" i="5"/>
  <c r="D27" i="5" s="1"/>
  <c r="B31" i="5"/>
  <c r="E6" i="6"/>
  <c r="E10" i="6"/>
  <c r="C14" i="5"/>
  <c r="C22" i="5" s="1"/>
  <c r="E15" i="5"/>
  <c r="E23" i="5" s="1"/>
  <c r="G16" i="5"/>
  <c r="G24" i="5" s="1"/>
  <c r="C18" i="5"/>
  <c r="C26" i="5" s="1"/>
  <c r="H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426018-9DF3-4F11-9DFD-DD6EE9F55FE9}" keepAlive="1" name="ModelConnection_ExternalData_1" description="Data Model" type="5" refreshedVersion="8" minRefreshableVersion="5" saveData="1">
    <dbPr connection="Data Model Connection" command="Inventory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DB7B32D-414F-4AFA-B533-72FEC99BFB01}" keepAlive="1" name="ModelConnection_ExternalData_2" description="Data Model" type="5" refreshedVersion="8" minRefreshableVersion="5" saveData="1">
    <dbPr connection="Data Model Connection" command="SupplierData_1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929BE1CC-4F2B-4F52-8974-5C049F83E480}" keepAlive="1" name="ModelConnection_ExternalData_21" description="Data Model" type="5" refreshedVersion="8" minRefreshableVersion="5" saveData="1">
    <dbPr connection="Data Model Connection" command="POData_1  2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F39E148C-1722-464B-9014-32E189552FF7}" name="Query - InventoryData" description="Connection to the 'InventoryData' query in the workbook." type="100" refreshedVersion="8" minRefreshableVersion="5">
    <extLst>
      <ext xmlns:x15="http://schemas.microsoft.com/office/spreadsheetml/2010/11/main" uri="{DE250136-89BD-433C-8126-D09CA5730AF9}">
        <x15:connection id="70d7b417-0bf6-4c85-b717-6c9b9e31ac6b"/>
      </ext>
    </extLst>
  </connection>
  <connection id="5" xr16:uid="{FD416B9B-2878-4332-A472-CF1278F069C2}" keepAlive="1" name="Query - POData" description="Connection to the 'POData' query in the workbook." type="5" refreshedVersion="8" background="1" saveData="1">
    <dbPr connection="Provider=Microsoft.Mashup.OleDb.1;Data Source=$Workbook$;Location=POData;Extended Properties=&quot;&quot;" command="SELECT * FROM [POData]"/>
  </connection>
  <connection id="6" xr16:uid="{0A0250F4-64B6-46EA-A799-8D4CD969315A}" keepAlive="1" name="Query - POData_1" description="Connection to the 'POData_1' query in the workbook." type="5" refreshedVersion="8" background="1" saveData="1">
    <dbPr connection="Provider=Microsoft.Mashup.OleDb.1;Data Source=$Workbook$;Location=POData_1;Extended Properties=&quot;&quot;" command="SELECT * FROM [POData_1]"/>
  </connection>
  <connection id="7" xr16:uid="{AA9E23BA-93A3-48B0-846C-E03AED605549}" name="Query - POData_1 (2)" description="Connection to the 'POData_1 (2)' query in the workbook." type="100" refreshedVersion="8" minRefreshableVersion="5">
    <extLst>
      <ext xmlns:x15="http://schemas.microsoft.com/office/spreadsheetml/2010/11/main" uri="{DE250136-89BD-433C-8126-D09CA5730AF9}">
        <x15:connection id="494f669c-0ea7-4444-93fa-2b2946eb9948"/>
      </ext>
    </extLst>
  </connection>
  <connection id="8" xr16:uid="{EBC96497-D33E-4B91-9994-B6E23A225C52}" keepAlive="1" name="Query - SupplierData" description="Connection to the 'SupplierData' query in the workbook." type="5" refreshedVersion="8" background="1" saveData="1">
    <dbPr connection="Provider=Microsoft.Mashup.OleDb.1;Data Source=$Workbook$;Location=SupplierData;Extended Properties=&quot;&quot;" command="SELECT * FROM [SupplierData]"/>
  </connection>
  <connection id="9" xr16:uid="{43B188DE-7EBA-4F12-A354-DB61B088E8FD}" name="Query - SupplierData_1" description="Connection to the 'SupplierData_1' query in the workbook." type="100" refreshedVersion="8" minRefreshableVersion="5">
    <extLst>
      <ext xmlns:x15="http://schemas.microsoft.com/office/spreadsheetml/2010/11/main" uri="{DE250136-89BD-433C-8126-D09CA5730AF9}">
        <x15:connection id="0b8a8877-2bb9-4a88-8b1c-a133195a3a4d"/>
      </ext>
    </extLst>
  </connection>
  <connection id="10" xr16:uid="{4EB7C77D-3ACC-45C5-95BF-88B267A62EF5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<sst xmlns="http://schemas.openxmlformats.org/spreadsheetml/2006/main" count="995" uniqueCount="123">
  <si>
    <t>Categories</t>
  </si>
  <si>
    <t>Suppliers</t>
  </si>
  <si>
    <t>Electronics</t>
  </si>
  <si>
    <t>Dublin Tech Distributors</t>
  </si>
  <si>
    <t>Office Supplies</t>
  </si>
  <si>
    <t>Leinster Office Supplies</t>
  </si>
  <si>
    <t>Furniture</t>
  </si>
  <si>
    <t>Emerald Furniture Co.</t>
  </si>
  <si>
    <t>Software</t>
  </si>
  <si>
    <t>CloudSoft Licensing</t>
  </si>
  <si>
    <t>Packaging</t>
  </si>
  <si>
    <t>Shannon Packaging Ltd</t>
  </si>
  <si>
    <t>Cleaning Supplies</t>
  </si>
  <si>
    <t>GreenClean Wholesale</t>
  </si>
  <si>
    <t>SupplierID</t>
  </si>
  <si>
    <t>SupplierName</t>
  </si>
  <si>
    <t>ContactEmail</t>
  </si>
  <si>
    <t>LeadTimeDays</t>
  </si>
  <si>
    <t>PaymentTerms</t>
  </si>
  <si>
    <t>SUP-01</t>
  </si>
  <si>
    <t>orders@dubtech.ie</t>
  </si>
  <si>
    <t>Net 30</t>
  </si>
  <si>
    <t>SUP-02</t>
  </si>
  <si>
    <t>sales@leinsteroffice.ie</t>
  </si>
  <si>
    <t>Net 15</t>
  </si>
  <si>
    <t>SUP-03</t>
  </si>
  <si>
    <t>orders@emeraldfurn.ie</t>
  </si>
  <si>
    <t>Net 45</t>
  </si>
  <si>
    <t>SUP-04</t>
  </si>
  <si>
    <t>billing@cloudsoft.com</t>
  </si>
  <si>
    <t>SUP-05</t>
  </si>
  <si>
    <t>sales@shannonpack.ie</t>
  </si>
  <si>
    <t>SUP-06</t>
  </si>
  <si>
    <t>orders@greenclean.ie</t>
  </si>
  <si>
    <t>ItemID</t>
  </si>
  <si>
    <t>ItemName</t>
  </si>
  <si>
    <t>Category</t>
  </si>
  <si>
    <t>Supplier</t>
  </si>
  <si>
    <t>UnitCost</t>
  </si>
  <si>
    <t>UnitPrice</t>
  </si>
  <si>
    <t>QuantityOnHand</t>
  </si>
  <si>
    <t>ReorderLevel</t>
  </si>
  <si>
    <t>ReorderQuantity</t>
  </si>
  <si>
    <t>InventoryValue</t>
  </si>
  <si>
    <t>ReorderCost</t>
  </si>
  <si>
    <t>Status</t>
  </si>
  <si>
    <t>Laptop v1</t>
  </si>
  <si>
    <t>Laptop v2</t>
  </si>
  <si>
    <t>Monitor v1</t>
  </si>
  <si>
    <t>Docking Station v1</t>
  </si>
  <si>
    <t>Docking Station v2</t>
  </si>
  <si>
    <t>Docking Station v3</t>
  </si>
  <si>
    <t>Wireless Mouse v1</t>
  </si>
  <si>
    <t>Headset v1</t>
  </si>
  <si>
    <t>Headset v2</t>
  </si>
  <si>
    <t>Headset v3</t>
  </si>
  <si>
    <t>Webcam v1</t>
  </si>
  <si>
    <t>Webcam v2</t>
  </si>
  <si>
    <t>USB Hub v1</t>
  </si>
  <si>
    <t>USB Hub v2</t>
  </si>
  <si>
    <t>Notebook v1</t>
  </si>
  <si>
    <t>Notebook v2</t>
  </si>
  <si>
    <t>Printer Paper (Ream) v1</t>
  </si>
  <si>
    <t>Printer Paper (Ream) v2</t>
  </si>
  <si>
    <t>Stapler v1</t>
  </si>
  <si>
    <t>Stapler v2</t>
  </si>
  <si>
    <t>Stapler v3</t>
  </si>
  <si>
    <t>Pen Pack v1</t>
  </si>
  <si>
    <t>Pen Pack v2</t>
  </si>
  <si>
    <t>Sticky Notes v1</t>
  </si>
  <si>
    <t>Sticky Notes v2</t>
  </si>
  <si>
    <t>Binder v1</t>
  </si>
  <si>
    <t>Binder v2</t>
  </si>
  <si>
    <t>Office Desk v1</t>
  </si>
  <si>
    <t>Ergonomic Chair v1</t>
  </si>
  <si>
    <t>Filing Cabinet v1</t>
  </si>
  <si>
    <t>Bookshelf v1</t>
  </si>
  <si>
    <t>Bookshelf v2</t>
  </si>
  <si>
    <t>Bookshelf v3</t>
  </si>
  <si>
    <t>Whiteboard v1</t>
  </si>
  <si>
    <t>Office Suite License v1</t>
  </si>
  <si>
    <t>Antivirus License v1</t>
  </si>
  <si>
    <t>Design Tool License v1</t>
  </si>
  <si>
    <t>Design Tool License v2</t>
  </si>
  <si>
    <t>Cloud Storage Plan v1</t>
  </si>
  <si>
    <t>Shipping Box (Small) v1</t>
  </si>
  <si>
    <t>Shipping Box (Small) v2</t>
  </si>
  <si>
    <t>Shipping Box (Small) v3</t>
  </si>
  <si>
    <t>Shipping Box (Large) v1</t>
  </si>
  <si>
    <t>Shipping Box (Large) v2</t>
  </si>
  <si>
    <t>Shipping Box (Large) v3</t>
  </si>
  <si>
    <t>Bubble Wrap Roll v1</t>
  </si>
  <si>
    <t>Packing Tape v1</t>
  </si>
  <si>
    <t>Packing Tape v2</t>
  </si>
  <si>
    <t>Disinfectant Spray v1</t>
  </si>
  <si>
    <t>Disinfectant Spray v2</t>
  </si>
  <si>
    <t>Paper Towels v1</t>
  </si>
  <si>
    <t>Hand Sanitizer v1</t>
  </si>
  <si>
    <t>Hand Sanitizer v2</t>
  </si>
  <si>
    <t>Trash Bags v1</t>
  </si>
  <si>
    <t>POID</t>
  </si>
  <si>
    <t>Date</t>
  </si>
  <si>
    <t>QuantityOrdered</t>
  </si>
  <si>
    <t>TotalCost</t>
  </si>
  <si>
    <t>MonthKey</t>
  </si>
  <si>
    <t>Budget vs Actual Spend by Category</t>
  </si>
  <si>
    <t>Monthly Budget by Category ($) — editable inputs</t>
  </si>
  <si>
    <t>Actual Spend by Category ($) — from Purchase Orders</t>
  </si>
  <si>
    <t>Variance (Budget − Actual)</t>
  </si>
  <si>
    <t>Reorder Cost Forecast (items currently below reorder level)</t>
  </si>
  <si>
    <t>Total Forecast Reorder Cost</t>
  </si>
  <si>
    <t>Items Needing Reorder</t>
  </si>
  <si>
    <t>Inventory &amp; Finance Dashboard</t>
  </si>
  <si>
    <t>Total Inventory Value</t>
  </si>
  <si>
    <t>Actual Spend by Category (latest month)</t>
  </si>
  <si>
    <t>Total PO Spend by Month</t>
  </si>
  <si>
    <t>Spend</t>
  </si>
  <si>
    <t>Month</t>
  </si>
  <si>
    <t>Forecast Reorder Cost</t>
  </si>
  <si>
    <t>Total PO Spend (All Time)</t>
  </si>
  <si>
    <t>Note: 'Generate POs for Low Stock' button — add after inserting the VBA macro (see README).</t>
  </si>
  <si>
    <t>Reorder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</si>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</sst>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$#,##0.00"/>
    <numFmt numFmtId="165" formatCode="yyyy\-mm\-dd"/>
    <numFmt numFmtId="166" formatCode="mmm\-yyyy"/>
    <numFmt numFmtId="167" formatCode="\$#,##0"/>
    <numFmt numFmtId="168" formatCode="\$#,##0;&quot;($&quot;#,##0\);\-"/>
  </numFmts>
  <fonts count="7" x14ac:knownFonts="1">
    <font>
      <sz val="11"/>
      <color theme="1"/>
      <name val="Calibri"/>
      <family val="2"/>
      <charset val="1"/>
    </font>
    <font>
      <b/>
      <sz val="11"/>
      <color rgb="FFFFFFFF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color rgb="FF0000FF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F00"/>
        <bgColor rgb="FF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3" fillId="0" borderId="0" xfId="0" applyFont="1"/>
    <xf numFmtId="166" fontId="1" fillId="2" borderId="0" xfId="0" applyNumberFormat="1" applyFont="1" applyFill="1"/>
    <xf numFmtId="167" fontId="4" fillId="3" borderId="0" xfId="0" applyNumberFormat="1" applyFont="1" applyFill="1"/>
    <xf numFmtId="167" fontId="0" fillId="0" borderId="0" xfId="0" applyNumberFormat="1"/>
    <xf numFmtId="168" fontId="0" fillId="0" borderId="0" xfId="0" applyNumberFormat="1"/>
    <xf numFmtId="3" fontId="0" fillId="0" borderId="0" xfId="0" applyNumberFormat="1"/>
    <xf numFmtId="166" fontId="0" fillId="0" borderId="0" xfId="0" applyNumberFormat="1"/>
    <xf numFmtId="0" fontId="5" fillId="0" borderId="0" xfId="0" applyFont="1"/>
    <xf numFmtId="0" fontId="0" fillId="0" borderId="0" xfId="0" applyNumberFormat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23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F81BD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microsoft.com/office/2006/relationships/vbaProject" Target="vbaProject.bin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Actual Spend by Category (latest month)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Dashboard!$E$4</c:f>
              <c:strCache>
                <c:ptCount val="1"/>
                <c:pt idx="0">
                  <c:v>Spend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Dashboard!$D$5:$D$10</c:f>
              <c:strCache>
                <c:ptCount val="6"/>
                <c:pt idx="0">
                  <c:v>Electronics</c:v>
                </c:pt>
                <c:pt idx="1">
                  <c:v>Office Supplies</c:v>
                </c:pt>
                <c:pt idx="2">
                  <c:v>Furniture</c:v>
                </c:pt>
                <c:pt idx="3">
                  <c:v>Software</c:v>
                </c:pt>
                <c:pt idx="4">
                  <c:v>Packaging</c:v>
                </c:pt>
                <c:pt idx="5">
                  <c:v>Cleaning Supplies</c:v>
                </c:pt>
              </c:strCache>
            </c:strRef>
          </c:cat>
          <c:val>
            <c:numRef>
              <c:f>Dashboard!$E$5:$E$10</c:f>
              <c:numCache>
                <c:formatCode>\$#,##0</c:formatCode>
                <c:ptCount val="6"/>
                <c:pt idx="0">
                  <c:v>34118.700000000004</c:v>
                </c:pt>
                <c:pt idx="1">
                  <c:v>7039.38</c:v>
                </c:pt>
                <c:pt idx="2">
                  <c:v>17548.96</c:v>
                </c:pt>
                <c:pt idx="3">
                  <c:v>28092.03</c:v>
                </c:pt>
                <c:pt idx="4">
                  <c:v>25115.18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9-42FE-96AC-958442A52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115574"/>
        <c:axId val="70674654"/>
      </c:barChart>
      <c:catAx>
        <c:axId val="3011557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0674654"/>
        <c:crosses val="autoZero"/>
        <c:auto val="1"/>
        <c:lblAlgn val="ctr"/>
        <c:lblOffset val="100"/>
        <c:noMultiLvlLbl val="0"/>
      </c:catAx>
      <c:valAx>
        <c:axId val="7067465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Spend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\$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0115574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Total PO Spend by Month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Spend</c:v>
                </c:pt>
              </c:strCache>
            </c:strRef>
          </c:tx>
          <c:spPr>
            <a:ln w="2844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Dashboard!$G$5:$G$10</c:f>
              <c:numCache>
                <c:formatCode>mmm\-yyyy</c:formatCode>
                <c:ptCount val="6"/>
                <c:pt idx="0">
                  <c:v>46113</c:v>
                </c:pt>
                <c:pt idx="1">
                  <c:v>46143</c:v>
                </c:pt>
                <c:pt idx="2">
                  <c:v>46174</c:v>
                </c:pt>
                <c:pt idx="3">
                  <c:v>46204</c:v>
                </c:pt>
                <c:pt idx="4">
                  <c:v>46235</c:v>
                </c:pt>
                <c:pt idx="5">
                  <c:v>46266</c:v>
                </c:pt>
              </c:numCache>
            </c:numRef>
          </c:cat>
          <c:val>
            <c:numRef>
              <c:f>Dashboard!$H$5:$H$10</c:f>
              <c:numCache>
                <c:formatCode>\$#,##0</c:formatCode>
                <c:ptCount val="6"/>
                <c:pt idx="0">
                  <c:v>16524.96</c:v>
                </c:pt>
                <c:pt idx="1">
                  <c:v>84492.700000000012</c:v>
                </c:pt>
                <c:pt idx="2">
                  <c:v>78026.47</c:v>
                </c:pt>
                <c:pt idx="3">
                  <c:v>34425.980000000003</c:v>
                </c:pt>
                <c:pt idx="4">
                  <c:v>95210.89</c:v>
                </c:pt>
                <c:pt idx="5">
                  <c:v>111914.24999999999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B22-45ED-BB16-5DDEC1120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22607602"/>
        <c:axId val="84960560"/>
      </c:lineChart>
      <c:dateAx>
        <c:axId val="22607602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84960560"/>
        <c:crosses val="autoZero"/>
        <c:auto val="1"/>
        <c:lblOffset val="100"/>
        <c:baseTimeUnit val="months"/>
      </c:dateAx>
      <c:valAx>
        <c:axId val="8496056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Spend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\$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260760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10</xdr:row>
      <xdr:rowOff>160560</xdr:rowOff>
    </xdr:from>
    <xdr:to>
      <xdr:col>9</xdr:col>
      <xdr:colOff>229680</xdr:colOff>
      <xdr:row>25</xdr:row>
      <xdr:rowOff>182880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304800</xdr:colOff>
      <xdr:row>10</xdr:row>
      <xdr:rowOff>160560</xdr:rowOff>
    </xdr:from>
    <xdr:to>
      <xdr:col>18</xdr:col>
      <xdr:colOff>219840</xdr:colOff>
      <xdr:row>26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53340</xdr:rowOff>
        </xdr:from>
        <xdr:to>
          <xdr:col>0</xdr:col>
          <xdr:colOff>1630680</xdr:colOff>
          <xdr:row>9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4EE0D5FC-5E0F-47F5-BB37-EAE83CC3E2AC}" autoFormatId="16" applyNumberFormats="0" applyBorderFormats="0" applyFontFormats="0" applyPatternFormats="0" applyAlignmentFormats="0" applyWidthHeightFormats="0">
  <queryTableRefresh nextId="6">
    <queryTableFields count="5">
      <queryTableField id="1" name="SupplierID" tableColumnId="1"/>
      <queryTableField id="2" name="SupplierName" tableColumnId="2"/>
      <queryTableField id="3" name="ContactEmail" tableColumnId="3"/>
      <queryTableField id="4" name="LeadTimeDays" tableColumnId="4"/>
      <queryTableField id="5" name="PaymentTerms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6E87367A-A1D1-4936-8E54-84849EF7BBE8}" autoFormatId="16" applyNumberFormats="0" applyBorderFormats="0" applyFontFormats="0" applyPatternFormats="0" applyAlignmentFormats="0" applyWidthHeightFormats="0">
  <queryTableRefresh nextId="6">
    <queryTableFields count="5">
      <queryTableField id="1" name="SupplierID" tableColumnId="1"/>
      <queryTableField id="2" name="SupplierName" tableColumnId="2"/>
      <queryTableField id="3" name="ContactEmail" tableColumnId="3"/>
      <queryTableField id="4" name="LeadTimeDays" tableColumnId="4"/>
      <queryTableField id="5" name="PaymentTerms" tableColumnId="5"/>
    </queryTableFields>
  </queryTableRefresh>
  <extLst>
    <ext xmlns:x15="http://schemas.microsoft.com/office/spreadsheetml/2010/11/main" uri="{883FBD77-0823-4a55-B5E3-86C4891E6966}">
      <x15:queryTable sourceDataName="Query - SupplierData_1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45F1951D-B473-48F7-A1C4-2B2A8C65E6A8}" autoFormatId="16" applyNumberFormats="0" applyBorderFormats="0" applyFontFormats="0" applyPatternFormats="0" applyAlignmentFormats="0" applyWidthHeightFormats="0">
  <queryTableRefresh nextId="15">
    <queryTableFields count="14">
      <queryTableField id="1" name="ItemID" tableColumnId="1"/>
      <queryTableField id="2" name="ItemName" tableColumnId="2"/>
      <queryTableField id="3" name="Category" tableColumnId="3"/>
      <queryTableField id="4" name="Supplier" tableColumnId="4"/>
      <queryTableField id="5" name="UnitCost" tableColumnId="5"/>
      <queryTableField id="6" name="UnitPrice" tableColumnId="6"/>
      <queryTableField id="7" name="QuantityOnHand" tableColumnId="7"/>
      <queryTableField id="8" name="ReorderLevel" tableColumnId="8"/>
      <queryTableField id="9" name="ReorderQuantity" tableColumnId="9"/>
      <queryTableField id="10" name="InventoryValue" tableColumnId="10"/>
      <queryTableField id="11" name="ReorderCost" tableColumnId="11"/>
      <queryTableField id="12" name="Status" tableColumnId="12"/>
      <queryTableField id="13" name="LeadTimeDays" tableColumnId="13"/>
      <queryTableField id="14" name="PaymentTerms" tableColumnId="14"/>
    </queryTableFields>
  </queryTableRefresh>
  <extLst>
    <ext xmlns:x15="http://schemas.microsoft.com/office/spreadsheetml/2010/11/main" uri="{883FBD77-0823-4a55-B5E3-86C4891E6966}">
      <x15:queryTable sourceDataName="Query - InventoryDa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EAC79C1-48DD-4D1A-95CB-85A93BEC146A}" autoFormatId="16" applyNumberFormats="0" applyBorderFormats="0" applyFontFormats="0" applyPatternFormats="0" applyAlignmentFormats="0" applyWidthHeightFormats="0">
  <queryTableRefresh nextId="11">
    <queryTableFields count="10">
      <queryTableField id="1" name="POID" tableColumnId="1"/>
      <queryTableField id="2" name="Date" tableColumnId="2"/>
      <queryTableField id="3" name="ItemID" tableColumnId="3"/>
      <queryTableField id="4" name="ItemName" tableColumnId="4"/>
      <queryTableField id="5" name="Category" tableColumnId="5"/>
      <queryTableField id="6" name="Supplier" tableColumnId="6"/>
      <queryTableField id="7" name="QuantityOrdered" tableColumnId="7"/>
      <queryTableField id="8" name="UnitCost" tableColumnId="8"/>
      <queryTableField id="9" name="TotalCost" tableColumnId="9"/>
      <queryTableField id="10" name="MonthKey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FF5EF174-1509-45F2-A1AD-0B3E0FD784C7}" autoFormatId="16" applyNumberFormats="0" applyBorderFormats="0" applyFontFormats="0" applyPatternFormats="0" applyAlignmentFormats="0" applyWidthHeightFormats="0">
  <queryTableRefresh nextId="11">
    <queryTableFields count="10">
      <queryTableField id="1" name="POID" tableColumnId="1"/>
      <queryTableField id="2" name="Date" tableColumnId="2"/>
      <queryTableField id="3" name="ItemID" tableColumnId="3"/>
      <queryTableField id="4" name="ItemName" tableColumnId="4"/>
      <queryTableField id="5" name="Category" tableColumnId="5"/>
      <queryTableField id="6" name="Supplier" tableColumnId="6"/>
      <queryTableField id="7" name="QuantityOrdered" tableColumnId="7"/>
      <queryTableField id="8" name="UnitCost" tableColumnId="8"/>
      <queryTableField id="9" name="TotalCost" tableColumnId="9"/>
      <queryTableField id="10" name="MonthKey" tableColumnId="10"/>
    </queryTableFields>
  </queryTableRefresh>
  <extLst>
    <ext xmlns:x15="http://schemas.microsoft.com/office/spreadsheetml/2010/11/main" uri="{883FBD77-0823-4a55-B5E3-86C4891E6966}">
      <x15:queryTable sourceDataName="Query - POData_1 (2)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1465AE-BF34-4C83-88CC-1B5C8ED38668}" name="SupplierData_1" displayName="SupplierData_1" ref="A1:E7" tableType="queryTable" totalsRowShown="0">
  <autoFilter ref="A1:E7" xr:uid="{5C1465AE-BF34-4C83-88CC-1B5C8ED38668}"/>
  <tableColumns count="5">
    <tableColumn id="1" xr3:uid="{CE71C26D-2EEC-46B9-998F-CDD13BBC478A}" uniqueName="1" name="SupplierID" queryTableFieldId="1" dataDxfId="22"/>
    <tableColumn id="2" xr3:uid="{C77E89D1-6791-49B7-A0BA-65E1B6F32CB9}" uniqueName="2" name="SupplierName" queryTableFieldId="2" dataDxfId="21"/>
    <tableColumn id="3" xr3:uid="{CF328FAB-9AD0-40C8-85D7-A5C54D91FAA7}" uniqueName="3" name="ContactEmail" queryTableFieldId="3" dataDxfId="20"/>
    <tableColumn id="4" xr3:uid="{77F4BC5E-EFDD-4873-834D-8E3C41498D92}" uniqueName="4" name="LeadTimeDays" queryTableFieldId="4"/>
    <tableColumn id="5" xr3:uid="{B67A27A6-3387-4E0C-9929-4880F4DC3436}" uniqueName="5" name="PaymentTerms" queryTableFieldId="5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FF0A24-F2D4-4781-A798-0848DBC37CCC}" name="SupplierData_2" displayName="SupplierData_2" ref="A1:E7" tableType="queryTable" totalsRowShown="0">
  <autoFilter ref="A1:E7" xr:uid="{38FF0A24-F2D4-4781-A798-0848DBC37CCC}"/>
  <tableColumns count="5">
    <tableColumn id="1" xr3:uid="{AD9E372A-D73B-4604-A181-35D6A79C269C}" uniqueName="1" name="SupplierID" queryTableFieldId="1" dataDxfId="13"/>
    <tableColumn id="2" xr3:uid="{463D2670-7E4E-4A59-94A6-9E9BB9F61C12}" uniqueName="2" name="SupplierName" queryTableFieldId="2" dataDxfId="12"/>
    <tableColumn id="3" xr3:uid="{6DFBAAED-87BA-4C26-8F0F-00B7CD742D95}" uniqueName="3" name="ContactEmail" queryTableFieldId="3" dataDxfId="11"/>
    <tableColumn id="4" xr3:uid="{67289B42-2EFF-41F1-BD07-8685985E795C}" uniqueName="4" name="LeadTimeDays" queryTableFieldId="4"/>
    <tableColumn id="5" xr3:uid="{7E0753AC-0F5B-42C3-8531-18901F0C371D}" uniqueName="5" name="PaymentTerms" queryTableFieldId="5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upplierData" displayName="SupplierData" ref="A1:E7" totalsRowShown="0">
  <autoFilter ref="A1:E7" xr:uid="{00000000-0009-0000-0100-000003000000}"/>
  <tableColumns count="5">
    <tableColumn id="1" xr3:uid="{00000000-0010-0000-0000-000001000000}" name="SupplierID"/>
    <tableColumn id="2" xr3:uid="{00000000-0010-0000-0000-000002000000}" name="SupplierName"/>
    <tableColumn id="3" xr3:uid="{00000000-0010-0000-0000-000003000000}" name="ContactEmail"/>
    <tableColumn id="4" xr3:uid="{00000000-0010-0000-0000-000004000000}" name="LeadTimeDays"/>
    <tableColumn id="5" xr3:uid="{00000000-0010-0000-0000-000005000000}" name="PaymentTerm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oryData" displayName="InventoryData" ref="A1:L55" totalsRowShown="0">
  <autoFilter ref="A1:L55" xr:uid="{00000000-0009-0000-0100-000001000000}"/>
  <tableColumns count="12">
    <tableColumn id="1" xr3:uid="{00000000-0010-0000-0100-000001000000}" name="ItemID"/>
    <tableColumn id="2" xr3:uid="{00000000-0010-0000-0100-000002000000}" name="ItemName"/>
    <tableColumn id="3" xr3:uid="{00000000-0010-0000-0100-000003000000}" name="Category"/>
    <tableColumn id="4" xr3:uid="{00000000-0010-0000-0100-000004000000}" name="Supplier"/>
    <tableColumn id="5" xr3:uid="{00000000-0010-0000-0100-000005000000}" name="UnitCost"/>
    <tableColumn id="6" xr3:uid="{00000000-0010-0000-0100-000006000000}" name="UnitPrice"/>
    <tableColumn id="7" xr3:uid="{00000000-0010-0000-0100-000007000000}" name="QuantityOnHand"/>
    <tableColumn id="8" xr3:uid="{00000000-0010-0000-0100-000008000000}" name="ReorderLevel"/>
    <tableColumn id="9" xr3:uid="{00000000-0010-0000-0100-000009000000}" name="ReorderQuantity"/>
    <tableColumn id="10" xr3:uid="{00000000-0010-0000-0100-00000A000000}" name="InventoryValue"/>
    <tableColumn id="11" xr3:uid="{00000000-0010-0000-0100-00000B000000}" name="ReorderCost"/>
    <tableColumn id="12" xr3:uid="{00000000-0010-0000-0100-00000C000000}" name="Statu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A7378-EA00-41CB-91CF-28FD3209811E}" name="InventoryData_2" displayName="InventoryData_2" ref="A1:N55" tableType="queryTable" totalsRowShown="0">
  <autoFilter ref="A1:N55" xr:uid="{C08A7378-EA00-41CB-91CF-28FD3209811E}"/>
  <tableColumns count="14">
    <tableColumn id="1" xr3:uid="{B8BECA6E-12FB-4E17-B8F0-8E0144AE4969}" uniqueName="1" name="ItemID" queryTableFieldId="1"/>
    <tableColumn id="2" xr3:uid="{5ECBEF0B-0603-48DA-A537-CDB6C5BED670}" uniqueName="2" name="ItemName" queryTableFieldId="2" dataDxfId="9"/>
    <tableColumn id="3" xr3:uid="{CBB28D8E-DECB-4048-905E-94EB53DE7A73}" uniqueName="3" name="Category" queryTableFieldId="3" dataDxfId="8"/>
    <tableColumn id="4" xr3:uid="{1E2BC5E3-E3DB-4D28-9416-9D762C14390E}" uniqueName="4" name="Supplier" queryTableFieldId="4" dataDxfId="7"/>
    <tableColumn id="5" xr3:uid="{22EED345-45D5-4365-8B32-3022101A060D}" uniqueName="5" name="UnitCost" queryTableFieldId="5"/>
    <tableColumn id="6" xr3:uid="{70E72EDB-BA33-40D4-B6CE-930B85296792}" uniqueName="6" name="UnitPrice" queryTableFieldId="6"/>
    <tableColumn id="7" xr3:uid="{70357A99-A194-41F9-A040-B0A0D1A06CE5}" uniqueName="7" name="QuantityOnHand" queryTableFieldId="7"/>
    <tableColumn id="8" xr3:uid="{EFE31100-2147-49F2-99C3-46A5CECE5ABD}" uniqueName="8" name="ReorderLevel" queryTableFieldId="8"/>
    <tableColumn id="9" xr3:uid="{6C717DE9-3ABD-49F6-940F-F1A606FC3892}" uniqueName="9" name="ReorderQuantity" queryTableFieldId="9"/>
    <tableColumn id="10" xr3:uid="{B8161FE5-722D-45F3-BDA2-A54C567AD585}" uniqueName="10" name="InventoryValue" queryTableFieldId="10"/>
    <tableColumn id="11" xr3:uid="{D6C61AC5-C336-4867-85A8-FC5D8F8BE9E4}" uniqueName="11" name="ReorderCost" queryTableFieldId="11"/>
    <tableColumn id="12" xr3:uid="{247AB2C4-3BE9-4A66-9922-358D41168E39}" uniqueName="12" name="Status" queryTableFieldId="12" dataDxfId="6"/>
    <tableColumn id="13" xr3:uid="{BBAA9021-5094-459A-905A-7EB4C5955ED8}" uniqueName="13" name="LeadTimeDays" queryTableFieldId="13"/>
    <tableColumn id="14" xr3:uid="{E0FD0705-3E2E-4829-B466-A5DB01CD2642}" uniqueName="14" name="PaymentTerms" queryTableFieldId="14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177A85E-72E2-4AF1-98F8-C74FEC7368F9}" name="POData_1" displayName="POData_1" ref="A1:J61" tableType="queryTable" totalsRowShown="0">
  <autoFilter ref="A1:J61" xr:uid="{7177A85E-72E2-4AF1-98F8-C74FEC7368F9}"/>
  <tableColumns count="10">
    <tableColumn id="1" xr3:uid="{7EE54E66-7F4B-43E5-B5F8-42ED4A6120A3}" uniqueName="1" name="POID" queryTableFieldId="1"/>
    <tableColumn id="2" xr3:uid="{2E38DE3D-483D-448E-8BC7-ACC0B1735660}" uniqueName="2" name="Date" queryTableFieldId="2" dataDxfId="18"/>
    <tableColumn id="3" xr3:uid="{36F78BE1-CC2D-433B-BF66-117912C66A03}" uniqueName="3" name="ItemID" queryTableFieldId="3"/>
    <tableColumn id="4" xr3:uid="{940A347A-0B86-40B5-BA8A-B38355E627F2}" uniqueName="4" name="ItemName" queryTableFieldId="4" dataDxfId="17"/>
    <tableColumn id="5" xr3:uid="{50E96B3D-94CB-4836-8DF1-2DDC37166B34}" uniqueName="5" name="Category" queryTableFieldId="5" dataDxfId="16"/>
    <tableColumn id="6" xr3:uid="{9C55D149-4536-4DBD-AFEA-7492A551056D}" uniqueName="6" name="Supplier" queryTableFieldId="6" dataDxfId="15"/>
    <tableColumn id="7" xr3:uid="{FD982615-4E76-4580-A5DC-E80FD58636B8}" uniqueName="7" name="QuantityOrdered" queryTableFieldId="7"/>
    <tableColumn id="8" xr3:uid="{E2256BF2-DBFA-4E66-97C1-03F73D859C81}" uniqueName="8" name="UnitCost" queryTableFieldId="8"/>
    <tableColumn id="9" xr3:uid="{8E833706-80EC-40DF-AA86-01EB7352EFE5}" uniqueName="9" name="TotalCost" queryTableFieldId="9"/>
    <tableColumn id="10" xr3:uid="{3644B5FE-D0CE-4C4B-A59C-735C27642C81}" uniqueName="10" name="MonthKey" queryTableFieldId="10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264FF44-05D1-4341-B83A-51B28D053052}" name="POData_1__2" displayName="POData_1__2" ref="A1:J61" tableType="queryTable" totalsRowShown="0">
  <autoFilter ref="A1:J61" xr:uid="{E264FF44-05D1-4341-B83A-51B28D053052}"/>
  <tableColumns count="10">
    <tableColumn id="1" xr3:uid="{D55D8F14-1CA3-4DD0-B2C8-BCF4CF9EDD16}" uniqueName="1" name="POID" queryTableFieldId="1"/>
    <tableColumn id="2" xr3:uid="{3E33C2DB-D0E8-464D-83F0-484DE283D5D9}" uniqueName="2" name="Date" queryTableFieldId="2" dataDxfId="4"/>
    <tableColumn id="3" xr3:uid="{44355850-DDA9-4420-BEB8-F8DA07245A49}" uniqueName="3" name="ItemID" queryTableFieldId="3"/>
    <tableColumn id="4" xr3:uid="{33C7D9D8-53AB-40CF-8A55-7903036AB248}" uniqueName="4" name="ItemName" queryTableFieldId="4" dataDxfId="3"/>
    <tableColumn id="5" xr3:uid="{0D7D6D81-8F35-4373-ADEE-EE2715DEDDC2}" uniqueName="5" name="Category" queryTableFieldId="5" dataDxfId="2"/>
    <tableColumn id="6" xr3:uid="{66F3B347-85DC-45F7-9EB1-3BBCFE4A3220}" uniqueName="6" name="Supplier" queryTableFieldId="6" dataDxfId="1"/>
    <tableColumn id="7" xr3:uid="{972CBA4E-31A9-4B1B-8427-4315C541CE35}" uniqueName="7" name="QuantityOrdered" queryTableFieldId="7"/>
    <tableColumn id="8" xr3:uid="{797254A5-AE50-47AF-9B98-C44ED06D054B}" uniqueName="8" name="UnitCost" queryTableFieldId="8"/>
    <tableColumn id="9" xr3:uid="{23055531-9545-4924-9555-A8EC7C314CD5}" uniqueName="9" name="TotalCost" queryTableFieldId="9"/>
    <tableColumn id="10" xr3:uid="{F729E864-517C-47F9-B676-E529467F2262}" uniqueName="10" name="MonthKey" queryTableFieldId="10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POData" displayName="POData" ref="A1:J61" totalsRowShown="0">
  <autoFilter ref="A1:J61" xr:uid="{00000000-0009-0000-0100-000002000000}"/>
  <tableColumns count="10">
    <tableColumn id="1" xr3:uid="{00000000-0010-0000-0200-000001000000}" name="POID"/>
    <tableColumn id="2" xr3:uid="{00000000-0010-0000-0200-000002000000}" name="Date"/>
    <tableColumn id="3" xr3:uid="{00000000-0010-0000-0200-000003000000}" name="ItemID"/>
    <tableColumn id="4" xr3:uid="{00000000-0010-0000-0200-000004000000}" name="ItemName"/>
    <tableColumn id="5" xr3:uid="{00000000-0010-0000-0200-000005000000}" name="Category"/>
    <tableColumn id="6" xr3:uid="{00000000-0010-0000-0200-000006000000}" name="Supplier"/>
    <tableColumn id="7" xr3:uid="{00000000-0010-0000-0200-000007000000}" name="QuantityOrdered"/>
    <tableColumn id="8" xr3:uid="{00000000-0010-0000-0200-000008000000}" name="UnitCost"/>
    <tableColumn id="9" xr3:uid="{00000000-0010-0000-0200-000009000000}" name="TotalCost"/>
    <tableColumn id="10" xr3:uid="{00000000-0010-0000-0200-00000A000000}" name="MonthKe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zoomScaleNormal="100" workbookViewId="0"/>
  </sheetViews>
  <sheetFormatPr defaultColWidth="8.6640625" defaultRowHeight="14.4" x14ac:dyDescent="0.3"/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  <row r="4" spans="1:2" x14ac:dyDescent="0.3">
      <c r="A4" t="s">
        <v>6</v>
      </c>
      <c r="B4" t="s">
        <v>7</v>
      </c>
    </row>
    <row r="5" spans="1:2" x14ac:dyDescent="0.3">
      <c r="A5" t="s">
        <v>8</v>
      </c>
      <c r="B5" t="s">
        <v>9</v>
      </c>
    </row>
    <row r="6" spans="1:2" x14ac:dyDescent="0.3">
      <c r="A6" t="s">
        <v>10</v>
      </c>
      <c r="B6" t="s">
        <v>11</v>
      </c>
    </row>
    <row r="7" spans="1:2" x14ac:dyDescent="0.3">
      <c r="A7" t="s">
        <v>12</v>
      </c>
      <c r="B7" t="s">
        <v>13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F3DAC-5C83-4374-B350-CAE7F27B3D25}">
  <dimension ref="A1:E7"/>
  <sheetViews>
    <sheetView tabSelected="1" workbookViewId="0">
      <selection activeCell="A6" sqref="A6"/>
    </sheetView>
  </sheetViews>
  <sheetFormatPr defaultRowHeight="14.4" x14ac:dyDescent="0.3"/>
  <cols>
    <col min="1" max="1" width="11.88671875" bestFit="1" customWidth="1"/>
    <col min="2" max="2" width="20.5546875" bestFit="1" customWidth="1"/>
    <col min="3" max="3" width="20.21875" bestFit="1" customWidth="1"/>
    <col min="4" max="4" width="15.44140625" bestFit="1" customWidth="1"/>
    <col min="5" max="5" width="16" bestFit="1" customWidth="1"/>
  </cols>
  <sheetData>
    <row r="1" spans="1: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 s="13" t="s">
        <v>19</v>
      </c>
      <c r="B2" s="13" t="s">
        <v>3</v>
      </c>
      <c r="C2" s="13" t="s">
        <v>20</v>
      </c>
      <c r="D2">
        <v>5</v>
      </c>
      <c r="E2" s="13" t="s">
        <v>21</v>
      </c>
    </row>
    <row r="3" spans="1:5" x14ac:dyDescent="0.3">
      <c r="A3" s="13" t="s">
        <v>22</v>
      </c>
      <c r="B3" s="13" t="s">
        <v>5</v>
      </c>
      <c r="C3" s="13" t="s">
        <v>23</v>
      </c>
      <c r="D3">
        <v>3</v>
      </c>
      <c r="E3" s="13" t="s">
        <v>24</v>
      </c>
    </row>
    <row r="4" spans="1:5" x14ac:dyDescent="0.3">
      <c r="A4" s="13" t="s">
        <v>25</v>
      </c>
      <c r="B4" s="13" t="s">
        <v>7</v>
      </c>
      <c r="C4" s="13" t="s">
        <v>26</v>
      </c>
      <c r="D4">
        <v>10</v>
      </c>
      <c r="E4" s="13" t="s">
        <v>27</v>
      </c>
    </row>
    <row r="5" spans="1:5" x14ac:dyDescent="0.3">
      <c r="A5" s="13" t="s">
        <v>28</v>
      </c>
      <c r="B5" s="13" t="s">
        <v>9</v>
      </c>
      <c r="C5" s="13" t="s">
        <v>29</v>
      </c>
      <c r="D5">
        <v>1</v>
      </c>
      <c r="E5" s="13" t="s">
        <v>21</v>
      </c>
    </row>
    <row r="6" spans="1:5" x14ac:dyDescent="0.3">
      <c r="A6" s="13" t="s">
        <v>30</v>
      </c>
      <c r="B6" s="13" t="s">
        <v>11</v>
      </c>
      <c r="C6" s="13" t="s">
        <v>31</v>
      </c>
      <c r="D6">
        <v>4</v>
      </c>
      <c r="E6" s="13" t="s">
        <v>21</v>
      </c>
    </row>
    <row r="7" spans="1:5" x14ac:dyDescent="0.3">
      <c r="A7" s="13" t="s">
        <v>32</v>
      </c>
      <c r="B7" s="13" t="s">
        <v>13</v>
      </c>
      <c r="C7" s="13" t="s">
        <v>33</v>
      </c>
      <c r="D7">
        <v>6</v>
      </c>
      <c r="E7" s="13" t="s">
        <v>24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D25FA-8E0B-4080-8E98-22A2BCA8B505}">
  <dimension ref="A1:E7"/>
  <sheetViews>
    <sheetView workbookViewId="0">
      <selection sqref="A1:E7"/>
    </sheetView>
  </sheetViews>
  <sheetFormatPr defaultRowHeight="14.4" x14ac:dyDescent="0.3"/>
  <cols>
    <col min="1" max="1" width="11.88671875" bestFit="1" customWidth="1"/>
    <col min="2" max="2" width="20.5546875" bestFit="1" customWidth="1"/>
    <col min="3" max="3" width="20.21875" bestFit="1" customWidth="1"/>
    <col min="4" max="4" width="15.44140625" bestFit="1" customWidth="1"/>
    <col min="5" max="5" width="16" bestFit="1" customWidth="1"/>
  </cols>
  <sheetData>
    <row r="1" spans="1:5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 s="13" t="s">
        <v>19</v>
      </c>
      <c r="B2" s="13" t="s">
        <v>3</v>
      </c>
      <c r="C2" s="13" t="s">
        <v>20</v>
      </c>
      <c r="D2">
        <v>5</v>
      </c>
      <c r="E2" s="13" t="s">
        <v>21</v>
      </c>
    </row>
    <row r="3" spans="1:5" x14ac:dyDescent="0.3">
      <c r="A3" s="13" t="s">
        <v>22</v>
      </c>
      <c r="B3" s="13" t="s">
        <v>5</v>
      </c>
      <c r="C3" s="13" t="s">
        <v>23</v>
      </c>
      <c r="D3">
        <v>3</v>
      </c>
      <c r="E3" s="13" t="s">
        <v>24</v>
      </c>
    </row>
    <row r="4" spans="1:5" x14ac:dyDescent="0.3">
      <c r="A4" s="13" t="s">
        <v>25</v>
      </c>
      <c r="B4" s="13" t="s">
        <v>7</v>
      </c>
      <c r="C4" s="13" t="s">
        <v>26</v>
      </c>
      <c r="D4">
        <v>10</v>
      </c>
      <c r="E4" s="13" t="s">
        <v>27</v>
      </c>
    </row>
    <row r="5" spans="1:5" x14ac:dyDescent="0.3">
      <c r="A5" s="13" t="s">
        <v>28</v>
      </c>
      <c r="B5" s="13" t="s">
        <v>9</v>
      </c>
      <c r="C5" s="13" t="s">
        <v>29</v>
      </c>
      <c r="D5">
        <v>1</v>
      </c>
      <c r="E5" s="13" t="s">
        <v>21</v>
      </c>
    </row>
    <row r="6" spans="1:5" x14ac:dyDescent="0.3">
      <c r="A6" s="13" t="s">
        <v>30</v>
      </c>
      <c r="B6" s="13" t="s">
        <v>11</v>
      </c>
      <c r="C6" s="13" t="s">
        <v>31</v>
      </c>
      <c r="D6">
        <v>4</v>
      </c>
      <c r="E6" s="13" t="s">
        <v>21</v>
      </c>
    </row>
    <row r="7" spans="1:5" x14ac:dyDescent="0.3">
      <c r="A7" s="13" t="s">
        <v>32</v>
      </c>
      <c r="B7" s="13" t="s">
        <v>13</v>
      </c>
      <c r="C7" s="13" t="s">
        <v>33</v>
      </c>
      <c r="D7">
        <v>6</v>
      </c>
      <c r="E7" s="13" t="s">
        <v>24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zoomScaleNormal="100" workbookViewId="0"/>
  </sheetViews>
  <sheetFormatPr defaultColWidth="8.6640625" defaultRowHeight="14.4" x14ac:dyDescent="0.3"/>
  <cols>
    <col min="1" max="1" width="12" customWidth="1"/>
    <col min="2" max="3" width="26" customWidth="1"/>
    <col min="4" max="5" width="14" customWidth="1"/>
  </cols>
  <sheetData>
    <row r="1" spans="1:5" x14ac:dyDescent="0.3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</row>
    <row r="2" spans="1:5" x14ac:dyDescent="0.3">
      <c r="A2" t="s">
        <v>19</v>
      </c>
      <c r="B2" t="s">
        <v>3</v>
      </c>
      <c r="C2" t="s">
        <v>20</v>
      </c>
      <c r="D2">
        <v>5</v>
      </c>
      <c r="E2" t="s">
        <v>21</v>
      </c>
    </row>
    <row r="3" spans="1:5" x14ac:dyDescent="0.3">
      <c r="A3" t="s">
        <v>22</v>
      </c>
      <c r="B3" t="s">
        <v>5</v>
      </c>
      <c r="C3" t="s">
        <v>23</v>
      </c>
      <c r="D3">
        <v>3</v>
      </c>
      <c r="E3" t="s">
        <v>24</v>
      </c>
    </row>
    <row r="4" spans="1:5" x14ac:dyDescent="0.3">
      <c r="A4" t="s">
        <v>25</v>
      </c>
      <c r="B4" t="s">
        <v>7</v>
      </c>
      <c r="C4" t="s">
        <v>26</v>
      </c>
      <c r="D4">
        <v>10</v>
      </c>
      <c r="E4" t="s">
        <v>27</v>
      </c>
    </row>
    <row r="5" spans="1:5" x14ac:dyDescent="0.3">
      <c r="A5" t="s">
        <v>28</v>
      </c>
      <c r="B5" t="s">
        <v>9</v>
      </c>
      <c r="C5" t="s">
        <v>29</v>
      </c>
      <c r="D5">
        <v>1</v>
      </c>
      <c r="E5" t="s">
        <v>21</v>
      </c>
    </row>
    <row r="6" spans="1:5" x14ac:dyDescent="0.3">
      <c r="A6" t="s">
        <v>30</v>
      </c>
      <c r="B6" t="s">
        <v>11</v>
      </c>
      <c r="C6" t="s">
        <v>31</v>
      </c>
      <c r="D6">
        <v>4</v>
      </c>
      <c r="E6" t="s">
        <v>21</v>
      </c>
    </row>
    <row r="7" spans="1:5" x14ac:dyDescent="0.3">
      <c r="A7" t="s">
        <v>32</v>
      </c>
      <c r="B7" t="s">
        <v>13</v>
      </c>
      <c r="C7" t="s">
        <v>33</v>
      </c>
      <c r="D7">
        <v>6</v>
      </c>
      <c r="E7" t="s">
        <v>24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5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0" customWidth="1"/>
    <col min="2" max="2" width="22" customWidth="1"/>
    <col min="3" max="3" width="16" customWidth="1"/>
    <col min="4" max="4" width="24" customWidth="1"/>
    <col min="5" max="6" width="11" customWidth="1"/>
    <col min="7" max="7" width="14" customWidth="1"/>
    <col min="8" max="8" width="12" customWidth="1"/>
    <col min="9" max="10" width="14" customWidth="1"/>
    <col min="11" max="11" width="12" customWidth="1"/>
    <col min="12" max="12" width="10" customWidth="1"/>
  </cols>
  <sheetData>
    <row r="1" spans="1:12" x14ac:dyDescent="0.3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</row>
    <row r="2" spans="1:12" x14ac:dyDescent="0.3">
      <c r="A2">
        <v>4001</v>
      </c>
      <c r="B2" t="s">
        <v>46</v>
      </c>
      <c r="C2" t="s">
        <v>2</v>
      </c>
      <c r="D2" t="s">
        <v>3</v>
      </c>
      <c r="E2" s="2">
        <v>379.25</v>
      </c>
      <c r="F2" s="2">
        <v>582.87</v>
      </c>
      <c r="G2">
        <v>6</v>
      </c>
      <c r="H2">
        <v>12</v>
      </c>
      <c r="I2">
        <v>72</v>
      </c>
      <c r="J2" s="2">
        <f t="shared" ref="J2:J33" si="0">E2*G2</f>
        <v>2275.5</v>
      </c>
      <c r="K2" s="2">
        <f t="shared" ref="K2:K33" si="1">E2*I2</f>
        <v>27306</v>
      </c>
      <c r="L2" t="str">
        <f t="shared" ref="L2:L33" si="2">IF(G2&lt;=H2,"Reorder","OK")</f>
        <v>Reorder</v>
      </c>
    </row>
    <row r="3" spans="1:12" x14ac:dyDescent="0.3">
      <c r="A3">
        <v>4002</v>
      </c>
      <c r="B3" t="s">
        <v>47</v>
      </c>
      <c r="C3" t="s">
        <v>2</v>
      </c>
      <c r="D3" t="s">
        <v>3</v>
      </c>
      <c r="E3" s="2">
        <v>215.28</v>
      </c>
      <c r="F3" s="2">
        <v>327.10000000000002</v>
      </c>
      <c r="G3">
        <v>7</v>
      </c>
      <c r="H3">
        <v>39</v>
      </c>
      <c r="I3">
        <v>52</v>
      </c>
      <c r="J3" s="2">
        <f t="shared" si="0"/>
        <v>1506.96</v>
      </c>
      <c r="K3" s="2">
        <f t="shared" si="1"/>
        <v>11194.56</v>
      </c>
      <c r="L3" t="str">
        <f t="shared" si="2"/>
        <v>Reorder</v>
      </c>
    </row>
    <row r="4" spans="1:12" x14ac:dyDescent="0.3">
      <c r="A4">
        <v>4003</v>
      </c>
      <c r="B4" t="s">
        <v>48</v>
      </c>
      <c r="C4" t="s">
        <v>2</v>
      </c>
      <c r="D4" t="s">
        <v>3</v>
      </c>
      <c r="E4" s="2">
        <v>16.920000000000002</v>
      </c>
      <c r="F4" s="2">
        <v>26.4</v>
      </c>
      <c r="G4">
        <v>8</v>
      </c>
      <c r="H4">
        <v>17</v>
      </c>
      <c r="I4">
        <v>25</v>
      </c>
      <c r="J4" s="2">
        <f t="shared" si="0"/>
        <v>135.36000000000001</v>
      </c>
      <c r="K4" s="2">
        <f t="shared" si="1"/>
        <v>423.00000000000006</v>
      </c>
      <c r="L4" t="str">
        <f t="shared" si="2"/>
        <v>Reorder</v>
      </c>
    </row>
    <row r="5" spans="1:12" x14ac:dyDescent="0.3">
      <c r="A5">
        <v>4004</v>
      </c>
      <c r="B5" t="s">
        <v>49</v>
      </c>
      <c r="C5" t="s">
        <v>2</v>
      </c>
      <c r="D5" t="s">
        <v>3</v>
      </c>
      <c r="E5" s="2">
        <v>170.96</v>
      </c>
      <c r="F5" s="2">
        <v>307.06</v>
      </c>
      <c r="G5">
        <v>15</v>
      </c>
      <c r="H5">
        <v>40</v>
      </c>
      <c r="I5">
        <v>34</v>
      </c>
      <c r="J5" s="2">
        <f t="shared" si="0"/>
        <v>2564.4</v>
      </c>
      <c r="K5" s="2">
        <f t="shared" si="1"/>
        <v>5812.64</v>
      </c>
      <c r="L5" t="str">
        <f t="shared" si="2"/>
        <v>Reorder</v>
      </c>
    </row>
    <row r="6" spans="1:12" x14ac:dyDescent="0.3">
      <c r="A6">
        <v>4005</v>
      </c>
      <c r="B6" t="s">
        <v>50</v>
      </c>
      <c r="C6" t="s">
        <v>2</v>
      </c>
      <c r="D6" t="s">
        <v>3</v>
      </c>
      <c r="E6" s="2">
        <v>252.99</v>
      </c>
      <c r="F6" s="2">
        <v>417.38</v>
      </c>
      <c r="G6">
        <v>7</v>
      </c>
      <c r="H6">
        <v>28</v>
      </c>
      <c r="I6">
        <v>57</v>
      </c>
      <c r="J6" s="2">
        <f t="shared" si="0"/>
        <v>1770.93</v>
      </c>
      <c r="K6" s="2">
        <f t="shared" si="1"/>
        <v>14420.43</v>
      </c>
      <c r="L6" t="str">
        <f t="shared" si="2"/>
        <v>Reorder</v>
      </c>
    </row>
    <row r="7" spans="1:12" x14ac:dyDescent="0.3">
      <c r="A7">
        <v>4006</v>
      </c>
      <c r="B7" t="s">
        <v>51</v>
      </c>
      <c r="C7" t="s">
        <v>2</v>
      </c>
      <c r="D7" t="s">
        <v>3</v>
      </c>
      <c r="E7" s="2">
        <v>159.88</v>
      </c>
      <c r="F7" s="2">
        <v>301.49</v>
      </c>
      <c r="G7">
        <v>5</v>
      </c>
      <c r="H7">
        <v>27</v>
      </c>
      <c r="I7">
        <v>74</v>
      </c>
      <c r="J7" s="2">
        <f t="shared" si="0"/>
        <v>799.4</v>
      </c>
      <c r="K7" s="2">
        <f t="shared" si="1"/>
        <v>11831.119999999999</v>
      </c>
      <c r="L7" t="str">
        <f t="shared" si="2"/>
        <v>Reorder</v>
      </c>
    </row>
    <row r="8" spans="1:12" x14ac:dyDescent="0.3">
      <c r="A8">
        <v>4007</v>
      </c>
      <c r="B8" t="s">
        <v>52</v>
      </c>
      <c r="C8" t="s">
        <v>2</v>
      </c>
      <c r="D8" t="s">
        <v>3</v>
      </c>
      <c r="E8" s="2">
        <v>117.26</v>
      </c>
      <c r="F8" s="2">
        <v>162.59</v>
      </c>
      <c r="G8">
        <v>15</v>
      </c>
      <c r="H8">
        <v>28</v>
      </c>
      <c r="I8">
        <v>39</v>
      </c>
      <c r="J8" s="2">
        <f t="shared" si="0"/>
        <v>1758.9</v>
      </c>
      <c r="K8" s="2">
        <f t="shared" si="1"/>
        <v>4573.1400000000003</v>
      </c>
      <c r="L8" t="str">
        <f t="shared" si="2"/>
        <v>Reorder</v>
      </c>
    </row>
    <row r="9" spans="1:12" x14ac:dyDescent="0.3">
      <c r="A9">
        <v>4008</v>
      </c>
      <c r="B9" t="s">
        <v>53</v>
      </c>
      <c r="C9" t="s">
        <v>2</v>
      </c>
      <c r="D9" t="s">
        <v>3</v>
      </c>
      <c r="E9" s="2">
        <v>326.82</v>
      </c>
      <c r="F9" s="2">
        <v>460.3</v>
      </c>
      <c r="G9">
        <v>74</v>
      </c>
      <c r="H9">
        <v>28</v>
      </c>
      <c r="I9">
        <v>60</v>
      </c>
      <c r="J9" s="2">
        <f t="shared" si="0"/>
        <v>24184.68</v>
      </c>
      <c r="K9" s="2">
        <f t="shared" si="1"/>
        <v>19609.2</v>
      </c>
      <c r="L9" t="str">
        <f t="shared" si="2"/>
        <v>OK</v>
      </c>
    </row>
    <row r="10" spans="1:12" x14ac:dyDescent="0.3">
      <c r="A10">
        <v>4009</v>
      </c>
      <c r="B10" t="s">
        <v>54</v>
      </c>
      <c r="C10" t="s">
        <v>2</v>
      </c>
      <c r="D10" t="s">
        <v>3</v>
      </c>
      <c r="E10" s="2">
        <v>76.77</v>
      </c>
      <c r="F10" s="2">
        <v>104.29</v>
      </c>
      <c r="G10">
        <v>91</v>
      </c>
      <c r="H10">
        <v>12</v>
      </c>
      <c r="I10">
        <v>56</v>
      </c>
      <c r="J10" s="2">
        <f t="shared" si="0"/>
        <v>6986.07</v>
      </c>
      <c r="K10" s="2">
        <f t="shared" si="1"/>
        <v>4299.12</v>
      </c>
      <c r="L10" t="str">
        <f t="shared" si="2"/>
        <v>OK</v>
      </c>
    </row>
    <row r="11" spans="1:12" x14ac:dyDescent="0.3">
      <c r="A11">
        <v>4010</v>
      </c>
      <c r="B11" t="s">
        <v>55</v>
      </c>
      <c r="C11" t="s">
        <v>2</v>
      </c>
      <c r="D11" t="s">
        <v>3</v>
      </c>
      <c r="E11" s="2">
        <v>25.72</v>
      </c>
      <c r="F11" s="2">
        <v>36.61</v>
      </c>
      <c r="G11">
        <v>87</v>
      </c>
      <c r="H11">
        <v>27</v>
      </c>
      <c r="I11">
        <v>47</v>
      </c>
      <c r="J11" s="2">
        <f t="shared" si="0"/>
        <v>2237.64</v>
      </c>
      <c r="K11" s="2">
        <f t="shared" si="1"/>
        <v>1208.8399999999999</v>
      </c>
      <c r="L11" t="str">
        <f t="shared" si="2"/>
        <v>OK</v>
      </c>
    </row>
    <row r="12" spans="1:12" x14ac:dyDescent="0.3">
      <c r="A12">
        <v>4011</v>
      </c>
      <c r="B12" t="s">
        <v>56</v>
      </c>
      <c r="C12" t="s">
        <v>2</v>
      </c>
      <c r="D12" t="s">
        <v>3</v>
      </c>
      <c r="E12" s="2">
        <v>187.31</v>
      </c>
      <c r="F12" s="2">
        <v>347.28</v>
      </c>
      <c r="G12">
        <v>46</v>
      </c>
      <c r="H12">
        <v>19</v>
      </c>
      <c r="I12">
        <v>35</v>
      </c>
      <c r="J12" s="2">
        <f t="shared" si="0"/>
        <v>8616.26</v>
      </c>
      <c r="K12" s="2">
        <f t="shared" si="1"/>
        <v>6555.85</v>
      </c>
      <c r="L12" t="str">
        <f t="shared" si="2"/>
        <v>OK</v>
      </c>
    </row>
    <row r="13" spans="1:12" x14ac:dyDescent="0.3">
      <c r="A13">
        <v>4012</v>
      </c>
      <c r="B13" t="s">
        <v>57</v>
      </c>
      <c r="C13" t="s">
        <v>2</v>
      </c>
      <c r="D13" t="s">
        <v>3</v>
      </c>
      <c r="E13" s="2">
        <v>318.16000000000003</v>
      </c>
      <c r="F13" s="2">
        <v>547.04</v>
      </c>
      <c r="G13">
        <v>31</v>
      </c>
      <c r="H13">
        <v>12</v>
      </c>
      <c r="I13">
        <v>56</v>
      </c>
      <c r="J13" s="2">
        <f t="shared" si="0"/>
        <v>9862.9600000000009</v>
      </c>
      <c r="K13" s="2">
        <f t="shared" si="1"/>
        <v>17816.960000000003</v>
      </c>
      <c r="L13" t="str">
        <f t="shared" si="2"/>
        <v>OK</v>
      </c>
    </row>
    <row r="14" spans="1:12" x14ac:dyDescent="0.3">
      <c r="A14">
        <v>4013</v>
      </c>
      <c r="B14" t="s">
        <v>58</v>
      </c>
      <c r="C14" t="s">
        <v>2</v>
      </c>
      <c r="D14" t="s">
        <v>3</v>
      </c>
      <c r="E14" s="2">
        <v>211.03</v>
      </c>
      <c r="F14" s="2">
        <v>385.15</v>
      </c>
      <c r="G14">
        <v>93</v>
      </c>
      <c r="H14">
        <v>24</v>
      </c>
      <c r="I14">
        <v>38</v>
      </c>
      <c r="J14" s="2">
        <f t="shared" si="0"/>
        <v>19625.79</v>
      </c>
      <c r="K14" s="2">
        <f t="shared" si="1"/>
        <v>8019.14</v>
      </c>
      <c r="L14" t="str">
        <f t="shared" si="2"/>
        <v>OK</v>
      </c>
    </row>
    <row r="15" spans="1:12" x14ac:dyDescent="0.3">
      <c r="A15">
        <v>4014</v>
      </c>
      <c r="B15" t="s">
        <v>59</v>
      </c>
      <c r="C15" t="s">
        <v>2</v>
      </c>
      <c r="D15" t="s">
        <v>3</v>
      </c>
      <c r="E15" s="2">
        <v>244.37</v>
      </c>
      <c r="F15" s="2">
        <v>328.41</v>
      </c>
      <c r="G15">
        <v>65</v>
      </c>
      <c r="H15">
        <v>23</v>
      </c>
      <c r="I15">
        <v>30</v>
      </c>
      <c r="J15" s="2">
        <f t="shared" si="0"/>
        <v>15884.050000000001</v>
      </c>
      <c r="K15" s="2">
        <f t="shared" si="1"/>
        <v>7331.1</v>
      </c>
      <c r="L15" t="str">
        <f t="shared" si="2"/>
        <v>OK</v>
      </c>
    </row>
    <row r="16" spans="1:12" x14ac:dyDescent="0.3">
      <c r="A16">
        <v>4015</v>
      </c>
      <c r="B16" t="s">
        <v>60</v>
      </c>
      <c r="C16" t="s">
        <v>4</v>
      </c>
      <c r="D16" t="s">
        <v>5</v>
      </c>
      <c r="E16" s="2">
        <v>62.49</v>
      </c>
      <c r="F16" s="2">
        <v>99.57</v>
      </c>
      <c r="G16">
        <v>5</v>
      </c>
      <c r="H16">
        <v>40</v>
      </c>
      <c r="I16">
        <v>62</v>
      </c>
      <c r="J16" s="2">
        <f t="shared" si="0"/>
        <v>312.45</v>
      </c>
      <c r="K16" s="2">
        <f t="shared" si="1"/>
        <v>3874.38</v>
      </c>
      <c r="L16" t="str">
        <f t="shared" si="2"/>
        <v>Reorder</v>
      </c>
    </row>
    <row r="17" spans="1:12" x14ac:dyDescent="0.3">
      <c r="A17">
        <v>4016</v>
      </c>
      <c r="B17" t="s">
        <v>61</v>
      </c>
      <c r="C17" t="s">
        <v>4</v>
      </c>
      <c r="D17" t="s">
        <v>5</v>
      </c>
      <c r="E17" s="2">
        <v>32.89</v>
      </c>
      <c r="F17" s="2">
        <v>53.77</v>
      </c>
      <c r="G17">
        <v>101</v>
      </c>
      <c r="H17">
        <v>38</v>
      </c>
      <c r="I17">
        <v>72</v>
      </c>
      <c r="J17" s="2">
        <f t="shared" si="0"/>
        <v>3321.89</v>
      </c>
      <c r="K17" s="2">
        <f t="shared" si="1"/>
        <v>2368.08</v>
      </c>
      <c r="L17" t="str">
        <f t="shared" si="2"/>
        <v>OK</v>
      </c>
    </row>
    <row r="18" spans="1:12" x14ac:dyDescent="0.3">
      <c r="A18">
        <v>4017</v>
      </c>
      <c r="B18" t="s">
        <v>62</v>
      </c>
      <c r="C18" t="s">
        <v>4</v>
      </c>
      <c r="D18" t="s">
        <v>5</v>
      </c>
      <c r="E18" s="2">
        <v>137.37</v>
      </c>
      <c r="F18" s="2">
        <v>207.44</v>
      </c>
      <c r="G18">
        <v>63</v>
      </c>
      <c r="H18">
        <v>28</v>
      </c>
      <c r="I18">
        <v>71</v>
      </c>
      <c r="J18" s="2">
        <f t="shared" si="0"/>
        <v>8654.31</v>
      </c>
      <c r="K18" s="2">
        <f t="shared" si="1"/>
        <v>9753.27</v>
      </c>
      <c r="L18" t="str">
        <f t="shared" si="2"/>
        <v>OK</v>
      </c>
    </row>
    <row r="19" spans="1:12" x14ac:dyDescent="0.3">
      <c r="A19">
        <v>4018</v>
      </c>
      <c r="B19" t="s">
        <v>63</v>
      </c>
      <c r="C19" t="s">
        <v>4</v>
      </c>
      <c r="D19" t="s">
        <v>5</v>
      </c>
      <c r="E19" s="2">
        <v>183.57</v>
      </c>
      <c r="F19" s="2">
        <v>331.16</v>
      </c>
      <c r="G19">
        <v>120</v>
      </c>
      <c r="H19">
        <v>18</v>
      </c>
      <c r="I19">
        <v>50</v>
      </c>
      <c r="J19" s="2">
        <f t="shared" si="0"/>
        <v>22028.399999999998</v>
      </c>
      <c r="K19" s="2">
        <f t="shared" si="1"/>
        <v>9178.5</v>
      </c>
      <c r="L19" t="str">
        <f t="shared" si="2"/>
        <v>OK</v>
      </c>
    </row>
    <row r="20" spans="1:12" x14ac:dyDescent="0.3">
      <c r="A20">
        <v>4019</v>
      </c>
      <c r="B20" t="s">
        <v>64</v>
      </c>
      <c r="C20" t="s">
        <v>4</v>
      </c>
      <c r="D20" t="s">
        <v>5</v>
      </c>
      <c r="E20" s="2">
        <v>266.33</v>
      </c>
      <c r="F20" s="2">
        <v>355.92</v>
      </c>
      <c r="G20">
        <v>89</v>
      </c>
      <c r="H20">
        <v>19</v>
      </c>
      <c r="I20">
        <v>61</v>
      </c>
      <c r="J20" s="2">
        <f t="shared" si="0"/>
        <v>23703.37</v>
      </c>
      <c r="K20" s="2">
        <f t="shared" si="1"/>
        <v>16246.13</v>
      </c>
      <c r="L20" t="str">
        <f t="shared" si="2"/>
        <v>OK</v>
      </c>
    </row>
    <row r="21" spans="1:12" x14ac:dyDescent="0.3">
      <c r="A21">
        <v>4020</v>
      </c>
      <c r="B21" t="s">
        <v>65</v>
      </c>
      <c r="C21" t="s">
        <v>4</v>
      </c>
      <c r="D21" t="s">
        <v>5</v>
      </c>
      <c r="E21" s="2">
        <v>232.02</v>
      </c>
      <c r="F21" s="2">
        <v>396.46</v>
      </c>
      <c r="G21">
        <v>57</v>
      </c>
      <c r="H21">
        <v>19</v>
      </c>
      <c r="I21">
        <v>65</v>
      </c>
      <c r="J21" s="2">
        <f t="shared" si="0"/>
        <v>13225.140000000001</v>
      </c>
      <c r="K21" s="2">
        <f t="shared" si="1"/>
        <v>15081.300000000001</v>
      </c>
      <c r="L21" t="str">
        <f t="shared" si="2"/>
        <v>OK</v>
      </c>
    </row>
    <row r="22" spans="1:12" x14ac:dyDescent="0.3">
      <c r="A22">
        <v>4021</v>
      </c>
      <c r="B22" t="s">
        <v>66</v>
      </c>
      <c r="C22" t="s">
        <v>4</v>
      </c>
      <c r="D22" t="s">
        <v>5</v>
      </c>
      <c r="E22" s="2">
        <v>155.54</v>
      </c>
      <c r="F22" s="2">
        <v>264.60000000000002</v>
      </c>
      <c r="G22">
        <v>2</v>
      </c>
      <c r="H22">
        <v>40</v>
      </c>
      <c r="I22">
        <v>49</v>
      </c>
      <c r="J22" s="2">
        <f t="shared" si="0"/>
        <v>311.08</v>
      </c>
      <c r="K22" s="2">
        <f t="shared" si="1"/>
        <v>7621.46</v>
      </c>
      <c r="L22" t="str">
        <f t="shared" si="2"/>
        <v>Reorder</v>
      </c>
    </row>
    <row r="23" spans="1:12" x14ac:dyDescent="0.3">
      <c r="A23">
        <v>4022</v>
      </c>
      <c r="B23" t="s">
        <v>67</v>
      </c>
      <c r="C23" t="s">
        <v>4</v>
      </c>
      <c r="D23" t="s">
        <v>5</v>
      </c>
      <c r="E23" s="2">
        <v>68.88</v>
      </c>
      <c r="F23" s="2">
        <v>94.38</v>
      </c>
      <c r="G23">
        <v>7</v>
      </c>
      <c r="H23">
        <v>16</v>
      </c>
      <c r="I23">
        <v>69</v>
      </c>
      <c r="J23" s="2">
        <f t="shared" si="0"/>
        <v>482.15999999999997</v>
      </c>
      <c r="K23" s="2">
        <f t="shared" si="1"/>
        <v>4752.7199999999993</v>
      </c>
      <c r="L23" t="str">
        <f t="shared" si="2"/>
        <v>Reorder</v>
      </c>
    </row>
    <row r="24" spans="1:12" x14ac:dyDescent="0.3">
      <c r="A24">
        <v>4023</v>
      </c>
      <c r="B24" t="s">
        <v>68</v>
      </c>
      <c r="C24" t="s">
        <v>4</v>
      </c>
      <c r="D24" t="s">
        <v>5</v>
      </c>
      <c r="E24" s="2">
        <v>116.4</v>
      </c>
      <c r="F24" s="2">
        <v>202.89</v>
      </c>
      <c r="G24">
        <v>50</v>
      </c>
      <c r="H24">
        <v>22</v>
      </c>
      <c r="I24">
        <v>78</v>
      </c>
      <c r="J24" s="2">
        <f t="shared" si="0"/>
        <v>5820</v>
      </c>
      <c r="K24" s="2">
        <f t="shared" si="1"/>
        <v>9079.2000000000007</v>
      </c>
      <c r="L24" t="str">
        <f t="shared" si="2"/>
        <v>OK</v>
      </c>
    </row>
    <row r="25" spans="1:12" x14ac:dyDescent="0.3">
      <c r="A25">
        <v>4024</v>
      </c>
      <c r="B25" t="s">
        <v>69</v>
      </c>
      <c r="C25" t="s">
        <v>4</v>
      </c>
      <c r="D25" t="s">
        <v>5</v>
      </c>
      <c r="E25" s="2">
        <v>34.07</v>
      </c>
      <c r="F25" s="2">
        <v>53.47</v>
      </c>
      <c r="G25">
        <v>70</v>
      </c>
      <c r="H25">
        <v>18</v>
      </c>
      <c r="I25">
        <v>76</v>
      </c>
      <c r="J25" s="2">
        <f t="shared" si="0"/>
        <v>2384.9</v>
      </c>
      <c r="K25" s="2">
        <f t="shared" si="1"/>
        <v>2589.3200000000002</v>
      </c>
      <c r="L25" t="str">
        <f t="shared" si="2"/>
        <v>OK</v>
      </c>
    </row>
    <row r="26" spans="1:12" x14ac:dyDescent="0.3">
      <c r="A26">
        <v>4025</v>
      </c>
      <c r="B26" t="s">
        <v>70</v>
      </c>
      <c r="C26" t="s">
        <v>4</v>
      </c>
      <c r="D26" t="s">
        <v>5</v>
      </c>
      <c r="E26" s="2">
        <v>56.5</v>
      </c>
      <c r="F26" s="2">
        <v>88.04</v>
      </c>
      <c r="G26">
        <v>70</v>
      </c>
      <c r="H26">
        <v>18</v>
      </c>
      <c r="I26">
        <v>65</v>
      </c>
      <c r="J26" s="2">
        <f t="shared" si="0"/>
        <v>3955</v>
      </c>
      <c r="K26" s="2">
        <f t="shared" si="1"/>
        <v>3672.5</v>
      </c>
      <c r="L26" t="str">
        <f t="shared" si="2"/>
        <v>OK</v>
      </c>
    </row>
    <row r="27" spans="1:12" x14ac:dyDescent="0.3">
      <c r="A27">
        <v>4026</v>
      </c>
      <c r="B27" t="s">
        <v>71</v>
      </c>
      <c r="C27" t="s">
        <v>4</v>
      </c>
      <c r="D27" t="s">
        <v>5</v>
      </c>
      <c r="E27" s="2">
        <v>394.61</v>
      </c>
      <c r="F27" s="2">
        <v>674.64</v>
      </c>
      <c r="G27">
        <v>48</v>
      </c>
      <c r="H27">
        <v>40</v>
      </c>
      <c r="I27">
        <v>34</v>
      </c>
      <c r="J27" s="2">
        <f t="shared" si="0"/>
        <v>18941.28</v>
      </c>
      <c r="K27" s="2">
        <f t="shared" si="1"/>
        <v>13416.74</v>
      </c>
      <c r="L27" t="str">
        <f t="shared" si="2"/>
        <v>OK</v>
      </c>
    </row>
    <row r="28" spans="1:12" x14ac:dyDescent="0.3">
      <c r="A28">
        <v>4027</v>
      </c>
      <c r="B28" t="s">
        <v>72</v>
      </c>
      <c r="C28" t="s">
        <v>4</v>
      </c>
      <c r="D28" t="s">
        <v>5</v>
      </c>
      <c r="E28" s="2">
        <v>62.07</v>
      </c>
      <c r="F28" s="2">
        <v>87.25</v>
      </c>
      <c r="G28">
        <v>29</v>
      </c>
      <c r="H28">
        <v>31</v>
      </c>
      <c r="I28">
        <v>34</v>
      </c>
      <c r="J28" s="2">
        <f t="shared" si="0"/>
        <v>1800.03</v>
      </c>
      <c r="K28" s="2">
        <f t="shared" si="1"/>
        <v>2110.38</v>
      </c>
      <c r="L28" t="str">
        <f t="shared" si="2"/>
        <v>Reorder</v>
      </c>
    </row>
    <row r="29" spans="1:12" x14ac:dyDescent="0.3">
      <c r="A29">
        <v>4028</v>
      </c>
      <c r="B29" t="s">
        <v>73</v>
      </c>
      <c r="C29" t="s">
        <v>6</v>
      </c>
      <c r="D29" t="s">
        <v>7</v>
      </c>
      <c r="E29" s="2">
        <v>195.02</v>
      </c>
      <c r="F29" s="2">
        <v>322.45999999999998</v>
      </c>
      <c r="G29">
        <v>33</v>
      </c>
      <c r="H29">
        <v>19</v>
      </c>
      <c r="I29">
        <v>20</v>
      </c>
      <c r="J29" s="2">
        <f t="shared" si="0"/>
        <v>6435.6600000000008</v>
      </c>
      <c r="K29" s="2">
        <f t="shared" si="1"/>
        <v>3900.4</v>
      </c>
      <c r="L29" t="str">
        <f t="shared" si="2"/>
        <v>OK</v>
      </c>
    </row>
    <row r="30" spans="1:12" x14ac:dyDescent="0.3">
      <c r="A30">
        <v>4029</v>
      </c>
      <c r="B30" t="s">
        <v>74</v>
      </c>
      <c r="C30" t="s">
        <v>6</v>
      </c>
      <c r="D30" t="s">
        <v>7</v>
      </c>
      <c r="E30" s="2">
        <v>168.74</v>
      </c>
      <c r="F30" s="2">
        <v>256.75</v>
      </c>
      <c r="G30">
        <v>72</v>
      </c>
      <c r="H30">
        <v>20</v>
      </c>
      <c r="I30">
        <v>80</v>
      </c>
      <c r="J30" s="2">
        <f t="shared" si="0"/>
        <v>12149.28</v>
      </c>
      <c r="K30" s="2">
        <f t="shared" si="1"/>
        <v>13499.2</v>
      </c>
      <c r="L30" t="str">
        <f t="shared" si="2"/>
        <v>OK</v>
      </c>
    </row>
    <row r="31" spans="1:12" x14ac:dyDescent="0.3">
      <c r="A31">
        <v>4030</v>
      </c>
      <c r="B31" t="s">
        <v>75</v>
      </c>
      <c r="C31" t="s">
        <v>6</v>
      </c>
      <c r="D31" t="s">
        <v>7</v>
      </c>
      <c r="E31" s="2">
        <v>276.82</v>
      </c>
      <c r="F31" s="2">
        <v>445.49</v>
      </c>
      <c r="G31">
        <v>79</v>
      </c>
      <c r="H31">
        <v>30</v>
      </c>
      <c r="I31">
        <v>63</v>
      </c>
      <c r="J31" s="2">
        <f t="shared" si="0"/>
        <v>21868.78</v>
      </c>
      <c r="K31" s="2">
        <f t="shared" si="1"/>
        <v>17439.66</v>
      </c>
      <c r="L31" t="str">
        <f t="shared" si="2"/>
        <v>OK</v>
      </c>
    </row>
    <row r="32" spans="1:12" x14ac:dyDescent="0.3">
      <c r="A32">
        <v>4031</v>
      </c>
      <c r="B32" t="s">
        <v>76</v>
      </c>
      <c r="C32" t="s">
        <v>6</v>
      </c>
      <c r="D32" t="s">
        <v>7</v>
      </c>
      <c r="E32" s="2">
        <v>23.49</v>
      </c>
      <c r="F32" s="2">
        <v>43.22</v>
      </c>
      <c r="G32">
        <v>99</v>
      </c>
      <c r="H32">
        <v>40</v>
      </c>
      <c r="I32">
        <v>75</v>
      </c>
      <c r="J32" s="2">
        <f t="shared" si="0"/>
        <v>2325.5099999999998</v>
      </c>
      <c r="K32" s="2">
        <f t="shared" si="1"/>
        <v>1761.7499999999998</v>
      </c>
      <c r="L32" t="str">
        <f t="shared" si="2"/>
        <v>OK</v>
      </c>
    </row>
    <row r="33" spans="1:12" x14ac:dyDescent="0.3">
      <c r="A33">
        <v>4032</v>
      </c>
      <c r="B33" t="s">
        <v>77</v>
      </c>
      <c r="C33" t="s">
        <v>6</v>
      </c>
      <c r="D33" t="s">
        <v>7</v>
      </c>
      <c r="E33" s="2">
        <v>272.87</v>
      </c>
      <c r="F33" s="2">
        <v>446.3</v>
      </c>
      <c r="G33">
        <v>50</v>
      </c>
      <c r="H33">
        <v>22</v>
      </c>
      <c r="I33">
        <v>45</v>
      </c>
      <c r="J33" s="2">
        <f t="shared" si="0"/>
        <v>13643.5</v>
      </c>
      <c r="K33" s="2">
        <f t="shared" si="1"/>
        <v>12279.15</v>
      </c>
      <c r="L33" t="str">
        <f t="shared" si="2"/>
        <v>OK</v>
      </c>
    </row>
    <row r="34" spans="1:12" x14ac:dyDescent="0.3">
      <c r="A34">
        <v>4033</v>
      </c>
      <c r="B34" t="s">
        <v>78</v>
      </c>
      <c r="C34" t="s">
        <v>6</v>
      </c>
      <c r="D34" t="s">
        <v>7</v>
      </c>
      <c r="E34" s="2">
        <v>43.21</v>
      </c>
      <c r="F34" s="2">
        <v>72.62</v>
      </c>
      <c r="G34">
        <v>7</v>
      </c>
      <c r="H34">
        <v>16</v>
      </c>
      <c r="I34">
        <v>24</v>
      </c>
      <c r="J34" s="2">
        <f t="shared" ref="J34:J55" si="3">E34*G34</f>
        <v>302.47000000000003</v>
      </c>
      <c r="K34" s="2">
        <f t="shared" ref="K34:K55" si="4">E34*I34</f>
        <v>1037.04</v>
      </c>
      <c r="L34" t="str">
        <f t="shared" ref="L34:L55" si="5">IF(G34&lt;=H34,"Reorder","OK")</f>
        <v>Reorder</v>
      </c>
    </row>
    <row r="35" spans="1:12" x14ac:dyDescent="0.3">
      <c r="A35">
        <v>4034</v>
      </c>
      <c r="B35" t="s">
        <v>79</v>
      </c>
      <c r="C35" t="s">
        <v>6</v>
      </c>
      <c r="D35" t="s">
        <v>7</v>
      </c>
      <c r="E35" s="2">
        <v>177.37</v>
      </c>
      <c r="F35" s="2">
        <v>242.28</v>
      </c>
      <c r="G35">
        <v>76</v>
      </c>
      <c r="H35">
        <v>11</v>
      </c>
      <c r="I35">
        <v>26</v>
      </c>
      <c r="J35" s="2">
        <f t="shared" si="3"/>
        <v>13480.12</v>
      </c>
      <c r="K35" s="2">
        <f t="shared" si="4"/>
        <v>4611.62</v>
      </c>
      <c r="L35" t="str">
        <f t="shared" si="5"/>
        <v>OK</v>
      </c>
    </row>
    <row r="36" spans="1:12" x14ac:dyDescent="0.3">
      <c r="A36">
        <v>4035</v>
      </c>
      <c r="B36" t="s">
        <v>80</v>
      </c>
      <c r="C36" t="s">
        <v>8</v>
      </c>
      <c r="D36" t="s">
        <v>9</v>
      </c>
      <c r="E36" s="2">
        <v>227.58</v>
      </c>
      <c r="F36" s="2">
        <v>369.13</v>
      </c>
      <c r="G36">
        <v>46</v>
      </c>
      <c r="H36">
        <v>29</v>
      </c>
      <c r="I36">
        <v>21</v>
      </c>
      <c r="J36" s="2">
        <f t="shared" si="3"/>
        <v>10468.68</v>
      </c>
      <c r="K36" s="2">
        <f t="shared" si="4"/>
        <v>4779.18</v>
      </c>
      <c r="L36" t="str">
        <f t="shared" si="5"/>
        <v>OK</v>
      </c>
    </row>
    <row r="37" spans="1:12" x14ac:dyDescent="0.3">
      <c r="A37">
        <v>4036</v>
      </c>
      <c r="B37" t="s">
        <v>81</v>
      </c>
      <c r="C37" t="s">
        <v>8</v>
      </c>
      <c r="D37" t="s">
        <v>9</v>
      </c>
      <c r="E37" s="2">
        <v>349.98</v>
      </c>
      <c r="F37" s="2">
        <v>583.91999999999996</v>
      </c>
      <c r="G37">
        <v>19</v>
      </c>
      <c r="H37">
        <v>30</v>
      </c>
      <c r="I37">
        <v>36</v>
      </c>
      <c r="J37" s="2">
        <f t="shared" si="3"/>
        <v>6649.6200000000008</v>
      </c>
      <c r="K37" s="2">
        <f t="shared" si="4"/>
        <v>12599.28</v>
      </c>
      <c r="L37" t="str">
        <f t="shared" si="5"/>
        <v>Reorder</v>
      </c>
    </row>
    <row r="38" spans="1:12" x14ac:dyDescent="0.3">
      <c r="A38">
        <v>4037</v>
      </c>
      <c r="B38" t="s">
        <v>82</v>
      </c>
      <c r="C38" t="s">
        <v>8</v>
      </c>
      <c r="D38" t="s">
        <v>9</v>
      </c>
      <c r="E38" s="2">
        <v>241.71</v>
      </c>
      <c r="F38" s="2">
        <v>382.99</v>
      </c>
      <c r="G38">
        <v>14</v>
      </c>
      <c r="H38">
        <v>37</v>
      </c>
      <c r="I38">
        <v>51</v>
      </c>
      <c r="J38" s="2">
        <f t="shared" si="3"/>
        <v>3383.94</v>
      </c>
      <c r="K38" s="2">
        <f t="shared" si="4"/>
        <v>12327.210000000001</v>
      </c>
      <c r="L38" t="str">
        <f t="shared" si="5"/>
        <v>Reorder</v>
      </c>
    </row>
    <row r="39" spans="1:12" x14ac:dyDescent="0.3">
      <c r="A39">
        <v>4038</v>
      </c>
      <c r="B39" t="s">
        <v>83</v>
      </c>
      <c r="C39" t="s">
        <v>8</v>
      </c>
      <c r="D39" t="s">
        <v>9</v>
      </c>
      <c r="E39" s="2">
        <v>397.25</v>
      </c>
      <c r="F39" s="2">
        <v>627.49</v>
      </c>
      <c r="G39">
        <v>61</v>
      </c>
      <c r="H39">
        <v>19</v>
      </c>
      <c r="I39">
        <v>25</v>
      </c>
      <c r="J39" s="2">
        <f t="shared" si="3"/>
        <v>24232.25</v>
      </c>
      <c r="K39" s="2">
        <f t="shared" si="4"/>
        <v>9931.25</v>
      </c>
      <c r="L39" t="str">
        <f t="shared" si="5"/>
        <v>OK</v>
      </c>
    </row>
    <row r="40" spans="1:12" x14ac:dyDescent="0.3">
      <c r="A40">
        <v>4039</v>
      </c>
      <c r="B40" t="s">
        <v>84</v>
      </c>
      <c r="C40" t="s">
        <v>8</v>
      </c>
      <c r="D40" t="s">
        <v>9</v>
      </c>
      <c r="E40" s="2">
        <v>42.67</v>
      </c>
      <c r="F40" s="2">
        <v>64.239999999999995</v>
      </c>
      <c r="G40">
        <v>33</v>
      </c>
      <c r="H40">
        <v>25</v>
      </c>
      <c r="I40">
        <v>73</v>
      </c>
      <c r="J40" s="2">
        <f t="shared" si="3"/>
        <v>1408.1100000000001</v>
      </c>
      <c r="K40" s="2">
        <f t="shared" si="4"/>
        <v>3114.9100000000003</v>
      </c>
      <c r="L40" t="str">
        <f t="shared" si="5"/>
        <v>OK</v>
      </c>
    </row>
    <row r="41" spans="1:12" x14ac:dyDescent="0.3">
      <c r="A41">
        <v>4040</v>
      </c>
      <c r="B41" t="s">
        <v>85</v>
      </c>
      <c r="C41" t="s">
        <v>10</v>
      </c>
      <c r="D41" t="s">
        <v>11</v>
      </c>
      <c r="E41" s="2">
        <v>66.25</v>
      </c>
      <c r="F41" s="2">
        <v>87.04</v>
      </c>
      <c r="G41">
        <v>67</v>
      </c>
      <c r="H41">
        <v>21</v>
      </c>
      <c r="I41">
        <v>29</v>
      </c>
      <c r="J41" s="2">
        <f t="shared" si="3"/>
        <v>4438.75</v>
      </c>
      <c r="K41" s="2">
        <f t="shared" si="4"/>
        <v>1921.25</v>
      </c>
      <c r="L41" t="str">
        <f t="shared" si="5"/>
        <v>OK</v>
      </c>
    </row>
    <row r="42" spans="1:12" x14ac:dyDescent="0.3">
      <c r="A42">
        <v>4041</v>
      </c>
      <c r="B42" t="s">
        <v>86</v>
      </c>
      <c r="C42" t="s">
        <v>10</v>
      </c>
      <c r="D42" t="s">
        <v>11</v>
      </c>
      <c r="E42" s="2">
        <v>276.64999999999998</v>
      </c>
      <c r="F42" s="2">
        <v>511.38</v>
      </c>
      <c r="G42">
        <v>97</v>
      </c>
      <c r="H42">
        <v>26</v>
      </c>
      <c r="I42">
        <v>39</v>
      </c>
      <c r="J42" s="2">
        <f t="shared" si="3"/>
        <v>26835.05</v>
      </c>
      <c r="K42" s="2">
        <f t="shared" si="4"/>
        <v>10789.349999999999</v>
      </c>
      <c r="L42" t="str">
        <f t="shared" si="5"/>
        <v>OK</v>
      </c>
    </row>
    <row r="43" spans="1:12" x14ac:dyDescent="0.3">
      <c r="A43">
        <v>4042</v>
      </c>
      <c r="B43" t="s">
        <v>87</v>
      </c>
      <c r="C43" t="s">
        <v>10</v>
      </c>
      <c r="D43" t="s">
        <v>11</v>
      </c>
      <c r="E43" s="2">
        <v>391.44</v>
      </c>
      <c r="F43" s="2">
        <v>711.64</v>
      </c>
      <c r="G43">
        <v>89</v>
      </c>
      <c r="H43">
        <v>37</v>
      </c>
      <c r="I43">
        <v>36</v>
      </c>
      <c r="J43" s="2">
        <f t="shared" si="3"/>
        <v>34838.159999999996</v>
      </c>
      <c r="K43" s="2">
        <f t="shared" si="4"/>
        <v>14091.84</v>
      </c>
      <c r="L43" t="str">
        <f t="shared" si="5"/>
        <v>OK</v>
      </c>
    </row>
    <row r="44" spans="1:12" x14ac:dyDescent="0.3">
      <c r="A44">
        <v>4043</v>
      </c>
      <c r="B44" t="s">
        <v>88</v>
      </c>
      <c r="C44" t="s">
        <v>10</v>
      </c>
      <c r="D44" t="s">
        <v>11</v>
      </c>
      <c r="E44" s="2">
        <v>147.94999999999999</v>
      </c>
      <c r="F44" s="2">
        <v>207.16</v>
      </c>
      <c r="G44">
        <v>98</v>
      </c>
      <c r="H44">
        <v>17</v>
      </c>
      <c r="I44">
        <v>54</v>
      </c>
      <c r="J44" s="2">
        <f t="shared" si="3"/>
        <v>14499.099999999999</v>
      </c>
      <c r="K44" s="2">
        <f t="shared" si="4"/>
        <v>7989.2999999999993</v>
      </c>
      <c r="L44" t="str">
        <f t="shared" si="5"/>
        <v>OK</v>
      </c>
    </row>
    <row r="45" spans="1:12" x14ac:dyDescent="0.3">
      <c r="A45">
        <v>4044</v>
      </c>
      <c r="B45" t="s">
        <v>89</v>
      </c>
      <c r="C45" t="s">
        <v>10</v>
      </c>
      <c r="D45" t="s">
        <v>11</v>
      </c>
      <c r="E45" s="2">
        <v>217.54</v>
      </c>
      <c r="F45" s="2">
        <v>348.42</v>
      </c>
      <c r="G45">
        <v>81</v>
      </c>
      <c r="H45">
        <v>17</v>
      </c>
      <c r="I45">
        <v>59</v>
      </c>
      <c r="J45" s="2">
        <f t="shared" si="3"/>
        <v>17620.739999999998</v>
      </c>
      <c r="K45" s="2">
        <f t="shared" si="4"/>
        <v>12834.859999999999</v>
      </c>
      <c r="L45" t="str">
        <f t="shared" si="5"/>
        <v>OK</v>
      </c>
    </row>
    <row r="46" spans="1:12" x14ac:dyDescent="0.3">
      <c r="A46">
        <v>4045</v>
      </c>
      <c r="B46" t="s">
        <v>90</v>
      </c>
      <c r="C46" t="s">
        <v>10</v>
      </c>
      <c r="D46" t="s">
        <v>11</v>
      </c>
      <c r="E46" s="2">
        <v>324.98</v>
      </c>
      <c r="F46" s="2">
        <v>614.52</v>
      </c>
      <c r="G46">
        <v>109</v>
      </c>
      <c r="H46">
        <v>16</v>
      </c>
      <c r="I46">
        <v>71</v>
      </c>
      <c r="J46" s="2">
        <f t="shared" si="3"/>
        <v>35422.82</v>
      </c>
      <c r="K46" s="2">
        <f t="shared" si="4"/>
        <v>23073.58</v>
      </c>
      <c r="L46" t="str">
        <f t="shared" si="5"/>
        <v>OK</v>
      </c>
    </row>
    <row r="47" spans="1:12" x14ac:dyDescent="0.3">
      <c r="A47">
        <v>4046</v>
      </c>
      <c r="B47" t="s">
        <v>91</v>
      </c>
      <c r="C47" t="s">
        <v>10</v>
      </c>
      <c r="D47" t="s">
        <v>11</v>
      </c>
      <c r="E47" s="2">
        <v>327.7</v>
      </c>
      <c r="F47" s="2">
        <v>571.48</v>
      </c>
      <c r="G47">
        <v>29</v>
      </c>
      <c r="H47">
        <v>16</v>
      </c>
      <c r="I47">
        <v>53</v>
      </c>
      <c r="J47" s="2">
        <f t="shared" si="3"/>
        <v>9503.2999999999993</v>
      </c>
      <c r="K47" s="2">
        <f t="shared" si="4"/>
        <v>17368.099999999999</v>
      </c>
      <c r="L47" t="str">
        <f t="shared" si="5"/>
        <v>OK</v>
      </c>
    </row>
    <row r="48" spans="1:12" x14ac:dyDescent="0.3">
      <c r="A48">
        <v>4047</v>
      </c>
      <c r="B48" t="s">
        <v>92</v>
      </c>
      <c r="C48" t="s">
        <v>10</v>
      </c>
      <c r="D48" t="s">
        <v>11</v>
      </c>
      <c r="E48" s="2">
        <v>143.51</v>
      </c>
      <c r="F48" s="2">
        <v>189.06</v>
      </c>
      <c r="G48">
        <v>3</v>
      </c>
      <c r="H48">
        <v>35</v>
      </c>
      <c r="I48">
        <v>37</v>
      </c>
      <c r="J48" s="2">
        <f t="shared" si="3"/>
        <v>430.53</v>
      </c>
      <c r="K48" s="2">
        <f t="shared" si="4"/>
        <v>5309.87</v>
      </c>
      <c r="L48" t="str">
        <f t="shared" si="5"/>
        <v>Reorder</v>
      </c>
    </row>
    <row r="49" spans="1:12" x14ac:dyDescent="0.3">
      <c r="A49">
        <v>4048</v>
      </c>
      <c r="B49" t="s">
        <v>93</v>
      </c>
      <c r="C49" t="s">
        <v>10</v>
      </c>
      <c r="D49" t="s">
        <v>11</v>
      </c>
      <c r="E49" s="2">
        <v>189.95</v>
      </c>
      <c r="F49" s="2">
        <v>269</v>
      </c>
      <c r="G49">
        <v>77</v>
      </c>
      <c r="H49">
        <v>40</v>
      </c>
      <c r="I49">
        <v>42</v>
      </c>
      <c r="J49" s="2">
        <f t="shared" si="3"/>
        <v>14626.15</v>
      </c>
      <c r="K49" s="2">
        <f t="shared" si="4"/>
        <v>7977.9</v>
      </c>
      <c r="L49" t="str">
        <f t="shared" si="5"/>
        <v>OK</v>
      </c>
    </row>
    <row r="50" spans="1:12" x14ac:dyDescent="0.3">
      <c r="A50">
        <v>4049</v>
      </c>
      <c r="B50" t="s">
        <v>94</v>
      </c>
      <c r="C50" t="s">
        <v>12</v>
      </c>
      <c r="D50" t="s">
        <v>13</v>
      </c>
      <c r="E50" s="2">
        <v>323.81</v>
      </c>
      <c r="F50" s="2">
        <v>561.45000000000005</v>
      </c>
      <c r="G50">
        <v>44</v>
      </c>
      <c r="H50">
        <v>40</v>
      </c>
      <c r="I50">
        <v>43</v>
      </c>
      <c r="J50" s="2">
        <f t="shared" si="3"/>
        <v>14247.64</v>
      </c>
      <c r="K50" s="2">
        <f t="shared" si="4"/>
        <v>13923.83</v>
      </c>
      <c r="L50" t="str">
        <f t="shared" si="5"/>
        <v>OK</v>
      </c>
    </row>
    <row r="51" spans="1:12" x14ac:dyDescent="0.3">
      <c r="A51">
        <v>4050</v>
      </c>
      <c r="B51" t="s">
        <v>95</v>
      </c>
      <c r="C51" t="s">
        <v>12</v>
      </c>
      <c r="D51" t="s">
        <v>13</v>
      </c>
      <c r="E51" s="2">
        <v>34.049999999999997</v>
      </c>
      <c r="F51" s="2">
        <v>46.35</v>
      </c>
      <c r="G51">
        <v>60</v>
      </c>
      <c r="H51">
        <v>16</v>
      </c>
      <c r="I51">
        <v>41</v>
      </c>
      <c r="J51" s="2">
        <f t="shared" si="3"/>
        <v>2042.9999999999998</v>
      </c>
      <c r="K51" s="2">
        <f t="shared" si="4"/>
        <v>1396.05</v>
      </c>
      <c r="L51" t="str">
        <f t="shared" si="5"/>
        <v>OK</v>
      </c>
    </row>
    <row r="52" spans="1:12" x14ac:dyDescent="0.3">
      <c r="A52">
        <v>4051</v>
      </c>
      <c r="B52" t="s">
        <v>96</v>
      </c>
      <c r="C52" t="s">
        <v>12</v>
      </c>
      <c r="D52" t="s">
        <v>13</v>
      </c>
      <c r="E52" s="2">
        <v>194.1</v>
      </c>
      <c r="F52" s="2">
        <v>367.07</v>
      </c>
      <c r="G52">
        <v>78</v>
      </c>
      <c r="H52">
        <v>36</v>
      </c>
      <c r="I52">
        <v>20</v>
      </c>
      <c r="J52" s="2">
        <f t="shared" si="3"/>
        <v>15139.8</v>
      </c>
      <c r="K52" s="2">
        <f t="shared" si="4"/>
        <v>3882</v>
      </c>
      <c r="L52" t="str">
        <f t="shared" si="5"/>
        <v>OK</v>
      </c>
    </row>
    <row r="53" spans="1:12" x14ac:dyDescent="0.3">
      <c r="A53">
        <v>4052</v>
      </c>
      <c r="B53" t="s">
        <v>97</v>
      </c>
      <c r="C53" t="s">
        <v>12</v>
      </c>
      <c r="D53" t="s">
        <v>13</v>
      </c>
      <c r="E53" s="2">
        <v>363.86</v>
      </c>
      <c r="F53" s="2">
        <v>548.12</v>
      </c>
      <c r="G53">
        <v>82</v>
      </c>
      <c r="H53">
        <v>12</v>
      </c>
      <c r="I53">
        <v>73</v>
      </c>
      <c r="J53" s="2">
        <f t="shared" si="3"/>
        <v>29836.52</v>
      </c>
      <c r="K53" s="2">
        <f t="shared" si="4"/>
        <v>26561.780000000002</v>
      </c>
      <c r="L53" t="str">
        <f t="shared" si="5"/>
        <v>OK</v>
      </c>
    </row>
    <row r="54" spans="1:12" x14ac:dyDescent="0.3">
      <c r="A54">
        <v>4053</v>
      </c>
      <c r="B54" t="s">
        <v>98</v>
      </c>
      <c r="C54" t="s">
        <v>12</v>
      </c>
      <c r="D54" t="s">
        <v>13</v>
      </c>
      <c r="E54" s="2">
        <v>264.91000000000003</v>
      </c>
      <c r="F54" s="2">
        <v>488.99</v>
      </c>
      <c r="G54">
        <v>100</v>
      </c>
      <c r="H54">
        <v>32</v>
      </c>
      <c r="I54">
        <v>68</v>
      </c>
      <c r="J54" s="2">
        <f t="shared" si="3"/>
        <v>26491.000000000004</v>
      </c>
      <c r="K54" s="2">
        <f t="shared" si="4"/>
        <v>18013.88</v>
      </c>
      <c r="L54" t="str">
        <f t="shared" si="5"/>
        <v>OK</v>
      </c>
    </row>
    <row r="55" spans="1:12" x14ac:dyDescent="0.3">
      <c r="A55">
        <v>4054</v>
      </c>
      <c r="B55" t="s">
        <v>99</v>
      </c>
      <c r="C55" t="s">
        <v>12</v>
      </c>
      <c r="D55" t="s">
        <v>13</v>
      </c>
      <c r="E55" s="2">
        <v>192.26</v>
      </c>
      <c r="F55" s="2">
        <v>270.52999999999997</v>
      </c>
      <c r="G55">
        <v>101</v>
      </c>
      <c r="H55">
        <v>30</v>
      </c>
      <c r="I55">
        <v>41</v>
      </c>
      <c r="J55" s="2">
        <f t="shared" si="3"/>
        <v>19418.259999999998</v>
      </c>
      <c r="K55" s="2">
        <f t="shared" si="4"/>
        <v>7882.66</v>
      </c>
      <c r="L55" t="str">
        <f t="shared" si="5"/>
        <v>OK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0000000}">
          <x14:formula1>
            <xm:f>Lists!$A$2:$A$7</xm:f>
          </x14:formula1>
          <x14:formula2>
            <xm:f>0</xm:f>
          </x14:formula2>
          <xm:sqref>C2:C55</xm:sqref>
        </x14:dataValidation>
        <x14:dataValidation type="list" xr:uid="{00000000-0002-0000-0200-000001000000}">
          <x14:formula1>
            <xm:f>Lists!$B$2:$B$7</xm:f>
          </x14:formula1>
          <x14:formula2>
            <xm:f>0</xm:f>
          </x14:formula2>
          <xm:sqref>D2:D55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8C8DC-57D7-462C-8295-533E4FEBA4A7}">
  <dimension ref="A1:N55"/>
  <sheetViews>
    <sheetView topLeftCell="C1" workbookViewId="0">
      <selection activeCell="J9" sqref="J9"/>
    </sheetView>
  </sheetViews>
  <sheetFormatPr defaultRowHeight="14.4" x14ac:dyDescent="0.3"/>
  <cols>
    <col min="2" max="2" width="20.33203125" bestFit="1" customWidth="1"/>
    <col min="3" max="3" width="15" bestFit="1" customWidth="1"/>
    <col min="4" max="4" width="20.5546875" bestFit="1" customWidth="1"/>
    <col min="5" max="5" width="10.44140625" bestFit="1" customWidth="1"/>
    <col min="6" max="6" width="10.88671875" bestFit="1" customWidth="1"/>
    <col min="7" max="7" width="17.5546875" bestFit="1" customWidth="1"/>
    <col min="8" max="8" width="14.21875" bestFit="1" customWidth="1"/>
    <col min="9" max="9" width="17.33203125" bestFit="1" customWidth="1"/>
    <col min="10" max="10" width="16.33203125" bestFit="1" customWidth="1"/>
    <col min="11" max="11" width="13.5546875" bestFit="1" customWidth="1"/>
    <col min="12" max="12" width="8.44140625" bestFit="1" customWidth="1"/>
    <col min="13" max="13" width="15.44140625" bestFit="1" customWidth="1"/>
    <col min="14" max="14" width="16" bestFit="1" customWidth="1"/>
  </cols>
  <sheetData>
    <row r="1" spans="1:14" x14ac:dyDescent="0.3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17</v>
      </c>
      <c r="N1" t="s">
        <v>18</v>
      </c>
    </row>
    <row r="2" spans="1:14" x14ac:dyDescent="0.3">
      <c r="A2">
        <v>4001</v>
      </c>
      <c r="B2" s="13" t="s">
        <v>46</v>
      </c>
      <c r="C2" s="13" t="s">
        <v>2</v>
      </c>
      <c r="D2" s="13" t="s">
        <v>3</v>
      </c>
      <c r="E2">
        <v>379.25</v>
      </c>
      <c r="F2">
        <v>582.87</v>
      </c>
      <c r="G2">
        <v>6</v>
      </c>
      <c r="H2">
        <v>12</v>
      </c>
      <c r="I2">
        <v>72</v>
      </c>
      <c r="J2">
        <v>2275.5</v>
      </c>
      <c r="K2">
        <v>27306</v>
      </c>
      <c r="L2" s="13" t="s">
        <v>121</v>
      </c>
      <c r="M2">
        <v>5</v>
      </c>
      <c r="N2" s="13" t="s">
        <v>21</v>
      </c>
    </row>
    <row r="3" spans="1:14" x14ac:dyDescent="0.3">
      <c r="A3">
        <v>4002</v>
      </c>
      <c r="B3" s="13" t="s">
        <v>47</v>
      </c>
      <c r="C3" s="13" t="s">
        <v>2</v>
      </c>
      <c r="D3" s="13" t="s">
        <v>3</v>
      </c>
      <c r="E3">
        <v>215.28</v>
      </c>
      <c r="F3">
        <v>327.10000000000002</v>
      </c>
      <c r="G3">
        <v>7</v>
      </c>
      <c r="H3">
        <v>39</v>
      </c>
      <c r="I3">
        <v>52</v>
      </c>
      <c r="J3">
        <v>1506.96</v>
      </c>
      <c r="K3">
        <v>11194.56</v>
      </c>
      <c r="L3" s="13" t="s">
        <v>121</v>
      </c>
      <c r="M3">
        <v>5</v>
      </c>
      <c r="N3" s="13" t="s">
        <v>21</v>
      </c>
    </row>
    <row r="4" spans="1:14" x14ac:dyDescent="0.3">
      <c r="A4">
        <v>4003</v>
      </c>
      <c r="B4" s="13" t="s">
        <v>48</v>
      </c>
      <c r="C4" s="13" t="s">
        <v>2</v>
      </c>
      <c r="D4" s="13" t="s">
        <v>3</v>
      </c>
      <c r="E4">
        <v>16.920000000000002</v>
      </c>
      <c r="F4">
        <v>26.4</v>
      </c>
      <c r="G4">
        <v>8</v>
      </c>
      <c r="H4">
        <v>17</v>
      </c>
      <c r="I4">
        <v>25</v>
      </c>
      <c r="J4">
        <v>135.36000000000001</v>
      </c>
      <c r="K4">
        <v>423.00000000000006</v>
      </c>
      <c r="L4" s="13" t="s">
        <v>121</v>
      </c>
      <c r="M4">
        <v>5</v>
      </c>
      <c r="N4" s="13" t="s">
        <v>21</v>
      </c>
    </row>
    <row r="5" spans="1:14" x14ac:dyDescent="0.3">
      <c r="A5">
        <v>4004</v>
      </c>
      <c r="B5" s="13" t="s">
        <v>49</v>
      </c>
      <c r="C5" s="13" t="s">
        <v>2</v>
      </c>
      <c r="D5" s="13" t="s">
        <v>3</v>
      </c>
      <c r="E5">
        <v>170.96</v>
      </c>
      <c r="F5">
        <v>307.06</v>
      </c>
      <c r="G5">
        <v>15</v>
      </c>
      <c r="H5">
        <v>40</v>
      </c>
      <c r="I5">
        <v>34</v>
      </c>
      <c r="J5">
        <v>2564.4</v>
      </c>
      <c r="K5">
        <v>5812.64</v>
      </c>
      <c r="L5" s="13" t="s">
        <v>121</v>
      </c>
      <c r="M5">
        <v>5</v>
      </c>
      <c r="N5" s="13" t="s">
        <v>21</v>
      </c>
    </row>
    <row r="6" spans="1:14" x14ac:dyDescent="0.3">
      <c r="A6">
        <v>4005</v>
      </c>
      <c r="B6" s="13" t="s">
        <v>50</v>
      </c>
      <c r="C6" s="13" t="s">
        <v>2</v>
      </c>
      <c r="D6" s="13" t="s">
        <v>3</v>
      </c>
      <c r="E6">
        <v>252.99</v>
      </c>
      <c r="F6">
        <v>417.38</v>
      </c>
      <c r="G6">
        <v>7</v>
      </c>
      <c r="H6">
        <v>28</v>
      </c>
      <c r="I6">
        <v>57</v>
      </c>
      <c r="J6">
        <v>1770.93</v>
      </c>
      <c r="K6">
        <v>14420.43</v>
      </c>
      <c r="L6" s="13" t="s">
        <v>121</v>
      </c>
      <c r="M6">
        <v>5</v>
      </c>
      <c r="N6" s="13" t="s">
        <v>21</v>
      </c>
    </row>
    <row r="7" spans="1:14" x14ac:dyDescent="0.3">
      <c r="A7">
        <v>4006</v>
      </c>
      <c r="B7" s="13" t="s">
        <v>51</v>
      </c>
      <c r="C7" s="13" t="s">
        <v>2</v>
      </c>
      <c r="D7" s="13" t="s">
        <v>3</v>
      </c>
      <c r="E7">
        <v>159.88</v>
      </c>
      <c r="F7">
        <v>301.49</v>
      </c>
      <c r="G7">
        <v>5</v>
      </c>
      <c r="H7">
        <v>27</v>
      </c>
      <c r="I7">
        <v>74</v>
      </c>
      <c r="J7">
        <v>799.4</v>
      </c>
      <c r="K7">
        <v>11831.119999999999</v>
      </c>
      <c r="L7" s="13" t="s">
        <v>121</v>
      </c>
      <c r="M7">
        <v>5</v>
      </c>
      <c r="N7" s="13" t="s">
        <v>21</v>
      </c>
    </row>
    <row r="8" spans="1:14" x14ac:dyDescent="0.3">
      <c r="A8">
        <v>4007</v>
      </c>
      <c r="B8" s="13" t="s">
        <v>52</v>
      </c>
      <c r="C8" s="13" t="s">
        <v>2</v>
      </c>
      <c r="D8" s="13" t="s">
        <v>3</v>
      </c>
      <c r="E8">
        <v>117.26</v>
      </c>
      <c r="F8">
        <v>162.59</v>
      </c>
      <c r="G8">
        <v>15</v>
      </c>
      <c r="H8">
        <v>28</v>
      </c>
      <c r="I8">
        <v>39</v>
      </c>
      <c r="J8">
        <v>1758.9</v>
      </c>
      <c r="K8">
        <v>4573.1400000000003</v>
      </c>
      <c r="L8" s="13" t="s">
        <v>121</v>
      </c>
      <c r="M8">
        <v>5</v>
      </c>
      <c r="N8" s="13" t="s">
        <v>21</v>
      </c>
    </row>
    <row r="9" spans="1:14" x14ac:dyDescent="0.3">
      <c r="A9">
        <v>4008</v>
      </c>
      <c r="B9" s="13" t="s">
        <v>53</v>
      </c>
      <c r="C9" s="13" t="s">
        <v>2</v>
      </c>
      <c r="D9" s="13" t="s">
        <v>3</v>
      </c>
      <c r="E9">
        <v>326.82</v>
      </c>
      <c r="F9">
        <v>460.3</v>
      </c>
      <c r="G9">
        <v>74</v>
      </c>
      <c r="H9">
        <v>28</v>
      </c>
      <c r="I9">
        <v>60</v>
      </c>
      <c r="J9">
        <v>24184.68</v>
      </c>
      <c r="K9">
        <v>19609.2</v>
      </c>
      <c r="L9" s="13" t="s">
        <v>122</v>
      </c>
      <c r="M9">
        <v>5</v>
      </c>
      <c r="N9" s="13" t="s">
        <v>21</v>
      </c>
    </row>
    <row r="10" spans="1:14" x14ac:dyDescent="0.3">
      <c r="A10">
        <v>4009</v>
      </c>
      <c r="B10" s="13" t="s">
        <v>54</v>
      </c>
      <c r="C10" s="13" t="s">
        <v>2</v>
      </c>
      <c r="D10" s="13" t="s">
        <v>3</v>
      </c>
      <c r="E10">
        <v>76.77</v>
      </c>
      <c r="F10">
        <v>104.29</v>
      </c>
      <c r="G10">
        <v>91</v>
      </c>
      <c r="H10">
        <v>12</v>
      </c>
      <c r="I10">
        <v>56</v>
      </c>
      <c r="J10">
        <v>6986.07</v>
      </c>
      <c r="K10">
        <v>4299.12</v>
      </c>
      <c r="L10" s="13" t="s">
        <v>122</v>
      </c>
      <c r="M10">
        <v>5</v>
      </c>
      <c r="N10" s="13" t="s">
        <v>21</v>
      </c>
    </row>
    <row r="11" spans="1:14" x14ac:dyDescent="0.3">
      <c r="A11">
        <v>4010</v>
      </c>
      <c r="B11" s="13" t="s">
        <v>55</v>
      </c>
      <c r="C11" s="13" t="s">
        <v>2</v>
      </c>
      <c r="D11" s="13" t="s">
        <v>3</v>
      </c>
      <c r="E11">
        <v>25.72</v>
      </c>
      <c r="F11">
        <v>36.61</v>
      </c>
      <c r="G11">
        <v>87</v>
      </c>
      <c r="H11">
        <v>27</v>
      </c>
      <c r="I11">
        <v>47</v>
      </c>
      <c r="J11">
        <v>2237.64</v>
      </c>
      <c r="K11">
        <v>1208.8399999999999</v>
      </c>
      <c r="L11" s="13" t="s">
        <v>122</v>
      </c>
      <c r="M11">
        <v>5</v>
      </c>
      <c r="N11" s="13" t="s">
        <v>21</v>
      </c>
    </row>
    <row r="12" spans="1:14" x14ac:dyDescent="0.3">
      <c r="A12">
        <v>4011</v>
      </c>
      <c r="B12" s="13" t="s">
        <v>56</v>
      </c>
      <c r="C12" s="13" t="s">
        <v>2</v>
      </c>
      <c r="D12" s="13" t="s">
        <v>3</v>
      </c>
      <c r="E12">
        <v>187.31</v>
      </c>
      <c r="F12">
        <v>347.28</v>
      </c>
      <c r="G12">
        <v>46</v>
      </c>
      <c r="H12">
        <v>19</v>
      </c>
      <c r="I12">
        <v>35</v>
      </c>
      <c r="J12">
        <v>8616.26</v>
      </c>
      <c r="K12">
        <v>6555.85</v>
      </c>
      <c r="L12" s="13" t="s">
        <v>122</v>
      </c>
      <c r="M12">
        <v>5</v>
      </c>
      <c r="N12" s="13" t="s">
        <v>21</v>
      </c>
    </row>
    <row r="13" spans="1:14" x14ac:dyDescent="0.3">
      <c r="A13">
        <v>4012</v>
      </c>
      <c r="B13" s="13" t="s">
        <v>57</v>
      </c>
      <c r="C13" s="13" t="s">
        <v>2</v>
      </c>
      <c r="D13" s="13" t="s">
        <v>3</v>
      </c>
      <c r="E13">
        <v>318.16000000000003</v>
      </c>
      <c r="F13">
        <v>547.04</v>
      </c>
      <c r="G13">
        <v>31</v>
      </c>
      <c r="H13">
        <v>12</v>
      </c>
      <c r="I13">
        <v>56</v>
      </c>
      <c r="J13">
        <v>9862.9600000000009</v>
      </c>
      <c r="K13">
        <v>17816.960000000003</v>
      </c>
      <c r="L13" s="13" t="s">
        <v>122</v>
      </c>
      <c r="M13">
        <v>5</v>
      </c>
      <c r="N13" s="13" t="s">
        <v>21</v>
      </c>
    </row>
    <row r="14" spans="1:14" x14ac:dyDescent="0.3">
      <c r="A14">
        <v>4013</v>
      </c>
      <c r="B14" s="13" t="s">
        <v>58</v>
      </c>
      <c r="C14" s="13" t="s">
        <v>2</v>
      </c>
      <c r="D14" s="13" t="s">
        <v>3</v>
      </c>
      <c r="E14">
        <v>211.03</v>
      </c>
      <c r="F14">
        <v>385.15</v>
      </c>
      <c r="G14">
        <v>93</v>
      </c>
      <c r="H14">
        <v>24</v>
      </c>
      <c r="I14">
        <v>38</v>
      </c>
      <c r="J14">
        <v>19625.79</v>
      </c>
      <c r="K14">
        <v>8019.14</v>
      </c>
      <c r="L14" s="13" t="s">
        <v>122</v>
      </c>
      <c r="M14">
        <v>5</v>
      </c>
      <c r="N14" s="13" t="s">
        <v>21</v>
      </c>
    </row>
    <row r="15" spans="1:14" x14ac:dyDescent="0.3">
      <c r="A15">
        <v>4014</v>
      </c>
      <c r="B15" s="13" t="s">
        <v>59</v>
      </c>
      <c r="C15" s="13" t="s">
        <v>2</v>
      </c>
      <c r="D15" s="13" t="s">
        <v>3</v>
      </c>
      <c r="E15">
        <v>244.37</v>
      </c>
      <c r="F15">
        <v>328.41</v>
      </c>
      <c r="G15">
        <v>65</v>
      </c>
      <c r="H15">
        <v>23</v>
      </c>
      <c r="I15">
        <v>30</v>
      </c>
      <c r="J15">
        <v>15884.050000000001</v>
      </c>
      <c r="K15">
        <v>7331.1</v>
      </c>
      <c r="L15" s="13" t="s">
        <v>122</v>
      </c>
      <c r="M15">
        <v>5</v>
      </c>
      <c r="N15" s="13" t="s">
        <v>21</v>
      </c>
    </row>
    <row r="16" spans="1:14" x14ac:dyDescent="0.3">
      <c r="A16">
        <v>4015</v>
      </c>
      <c r="B16" s="13" t="s">
        <v>60</v>
      </c>
      <c r="C16" s="13" t="s">
        <v>4</v>
      </c>
      <c r="D16" s="13" t="s">
        <v>5</v>
      </c>
      <c r="E16">
        <v>62.49</v>
      </c>
      <c r="F16">
        <v>99.57</v>
      </c>
      <c r="G16">
        <v>5</v>
      </c>
      <c r="H16">
        <v>40</v>
      </c>
      <c r="I16">
        <v>62</v>
      </c>
      <c r="J16">
        <v>312.45</v>
      </c>
      <c r="K16">
        <v>3874.38</v>
      </c>
      <c r="L16" s="13" t="s">
        <v>121</v>
      </c>
      <c r="M16">
        <v>3</v>
      </c>
      <c r="N16" s="13" t="s">
        <v>24</v>
      </c>
    </row>
    <row r="17" spans="1:14" x14ac:dyDescent="0.3">
      <c r="A17">
        <v>4016</v>
      </c>
      <c r="B17" s="13" t="s">
        <v>61</v>
      </c>
      <c r="C17" s="13" t="s">
        <v>4</v>
      </c>
      <c r="D17" s="13" t="s">
        <v>5</v>
      </c>
      <c r="E17">
        <v>32.89</v>
      </c>
      <c r="F17">
        <v>53.77</v>
      </c>
      <c r="G17">
        <v>101</v>
      </c>
      <c r="H17">
        <v>38</v>
      </c>
      <c r="I17">
        <v>72</v>
      </c>
      <c r="J17">
        <v>3321.89</v>
      </c>
      <c r="K17">
        <v>2368.08</v>
      </c>
      <c r="L17" s="13" t="s">
        <v>122</v>
      </c>
      <c r="M17">
        <v>3</v>
      </c>
      <c r="N17" s="13" t="s">
        <v>24</v>
      </c>
    </row>
    <row r="18" spans="1:14" x14ac:dyDescent="0.3">
      <c r="A18">
        <v>4017</v>
      </c>
      <c r="B18" s="13" t="s">
        <v>62</v>
      </c>
      <c r="C18" s="13" t="s">
        <v>4</v>
      </c>
      <c r="D18" s="13" t="s">
        <v>5</v>
      </c>
      <c r="E18">
        <v>137.37</v>
      </c>
      <c r="F18">
        <v>207.44</v>
      </c>
      <c r="G18">
        <v>63</v>
      </c>
      <c r="H18">
        <v>28</v>
      </c>
      <c r="I18">
        <v>71</v>
      </c>
      <c r="J18">
        <v>8654.31</v>
      </c>
      <c r="K18">
        <v>9753.27</v>
      </c>
      <c r="L18" s="13" t="s">
        <v>122</v>
      </c>
      <c r="M18">
        <v>3</v>
      </c>
      <c r="N18" s="13" t="s">
        <v>24</v>
      </c>
    </row>
    <row r="19" spans="1:14" x14ac:dyDescent="0.3">
      <c r="A19">
        <v>4018</v>
      </c>
      <c r="B19" s="13" t="s">
        <v>63</v>
      </c>
      <c r="C19" s="13" t="s">
        <v>4</v>
      </c>
      <c r="D19" s="13" t="s">
        <v>5</v>
      </c>
      <c r="E19">
        <v>183.57</v>
      </c>
      <c r="F19">
        <v>331.16</v>
      </c>
      <c r="G19">
        <v>120</v>
      </c>
      <c r="H19">
        <v>18</v>
      </c>
      <c r="I19">
        <v>50</v>
      </c>
      <c r="J19">
        <v>22028.399999999998</v>
      </c>
      <c r="K19">
        <v>9178.5</v>
      </c>
      <c r="L19" s="13" t="s">
        <v>122</v>
      </c>
      <c r="M19">
        <v>3</v>
      </c>
      <c r="N19" s="13" t="s">
        <v>24</v>
      </c>
    </row>
    <row r="20" spans="1:14" x14ac:dyDescent="0.3">
      <c r="A20">
        <v>4019</v>
      </c>
      <c r="B20" s="13" t="s">
        <v>64</v>
      </c>
      <c r="C20" s="13" t="s">
        <v>4</v>
      </c>
      <c r="D20" s="13" t="s">
        <v>5</v>
      </c>
      <c r="E20">
        <v>266.33</v>
      </c>
      <c r="F20">
        <v>355.92</v>
      </c>
      <c r="G20">
        <v>89</v>
      </c>
      <c r="H20">
        <v>19</v>
      </c>
      <c r="I20">
        <v>61</v>
      </c>
      <c r="J20">
        <v>23703.37</v>
      </c>
      <c r="K20">
        <v>16246.13</v>
      </c>
      <c r="L20" s="13" t="s">
        <v>122</v>
      </c>
      <c r="M20">
        <v>3</v>
      </c>
      <c r="N20" s="13" t="s">
        <v>24</v>
      </c>
    </row>
    <row r="21" spans="1:14" x14ac:dyDescent="0.3">
      <c r="A21">
        <v>4020</v>
      </c>
      <c r="B21" s="13" t="s">
        <v>65</v>
      </c>
      <c r="C21" s="13" t="s">
        <v>4</v>
      </c>
      <c r="D21" s="13" t="s">
        <v>5</v>
      </c>
      <c r="E21">
        <v>232.02</v>
      </c>
      <c r="F21">
        <v>396.46</v>
      </c>
      <c r="G21">
        <v>57</v>
      </c>
      <c r="H21">
        <v>19</v>
      </c>
      <c r="I21">
        <v>65</v>
      </c>
      <c r="J21">
        <v>13225.140000000001</v>
      </c>
      <c r="K21">
        <v>15081.300000000001</v>
      </c>
      <c r="L21" s="13" t="s">
        <v>122</v>
      </c>
      <c r="M21">
        <v>3</v>
      </c>
      <c r="N21" s="13" t="s">
        <v>24</v>
      </c>
    </row>
    <row r="22" spans="1:14" x14ac:dyDescent="0.3">
      <c r="A22">
        <v>4021</v>
      </c>
      <c r="B22" s="13" t="s">
        <v>66</v>
      </c>
      <c r="C22" s="13" t="s">
        <v>4</v>
      </c>
      <c r="D22" s="13" t="s">
        <v>5</v>
      </c>
      <c r="E22">
        <v>155.54</v>
      </c>
      <c r="F22">
        <v>264.60000000000002</v>
      </c>
      <c r="G22">
        <v>2</v>
      </c>
      <c r="H22">
        <v>40</v>
      </c>
      <c r="I22">
        <v>49</v>
      </c>
      <c r="J22">
        <v>311.08</v>
      </c>
      <c r="K22">
        <v>7621.46</v>
      </c>
      <c r="L22" s="13" t="s">
        <v>121</v>
      </c>
      <c r="M22">
        <v>3</v>
      </c>
      <c r="N22" s="13" t="s">
        <v>24</v>
      </c>
    </row>
    <row r="23" spans="1:14" x14ac:dyDescent="0.3">
      <c r="A23">
        <v>4022</v>
      </c>
      <c r="B23" s="13" t="s">
        <v>67</v>
      </c>
      <c r="C23" s="13" t="s">
        <v>4</v>
      </c>
      <c r="D23" s="13" t="s">
        <v>5</v>
      </c>
      <c r="E23">
        <v>68.88</v>
      </c>
      <c r="F23">
        <v>94.38</v>
      </c>
      <c r="G23">
        <v>7</v>
      </c>
      <c r="H23">
        <v>16</v>
      </c>
      <c r="I23">
        <v>69</v>
      </c>
      <c r="J23">
        <v>482.15999999999997</v>
      </c>
      <c r="K23">
        <v>4752.7199999999993</v>
      </c>
      <c r="L23" s="13" t="s">
        <v>121</v>
      </c>
      <c r="M23">
        <v>3</v>
      </c>
      <c r="N23" s="13" t="s">
        <v>24</v>
      </c>
    </row>
    <row r="24" spans="1:14" x14ac:dyDescent="0.3">
      <c r="A24">
        <v>4023</v>
      </c>
      <c r="B24" s="13" t="s">
        <v>68</v>
      </c>
      <c r="C24" s="13" t="s">
        <v>4</v>
      </c>
      <c r="D24" s="13" t="s">
        <v>5</v>
      </c>
      <c r="E24">
        <v>116.4</v>
      </c>
      <c r="F24">
        <v>202.89</v>
      </c>
      <c r="G24">
        <v>50</v>
      </c>
      <c r="H24">
        <v>22</v>
      </c>
      <c r="I24">
        <v>78</v>
      </c>
      <c r="J24">
        <v>5820</v>
      </c>
      <c r="K24">
        <v>9079.2000000000007</v>
      </c>
      <c r="L24" s="13" t="s">
        <v>122</v>
      </c>
      <c r="M24">
        <v>3</v>
      </c>
      <c r="N24" s="13" t="s">
        <v>24</v>
      </c>
    </row>
    <row r="25" spans="1:14" x14ac:dyDescent="0.3">
      <c r="A25">
        <v>4024</v>
      </c>
      <c r="B25" s="13" t="s">
        <v>69</v>
      </c>
      <c r="C25" s="13" t="s">
        <v>4</v>
      </c>
      <c r="D25" s="13" t="s">
        <v>5</v>
      </c>
      <c r="E25">
        <v>34.07</v>
      </c>
      <c r="F25">
        <v>53.47</v>
      </c>
      <c r="G25">
        <v>70</v>
      </c>
      <c r="H25">
        <v>18</v>
      </c>
      <c r="I25">
        <v>76</v>
      </c>
      <c r="J25">
        <v>2384.9</v>
      </c>
      <c r="K25">
        <v>2589.3200000000002</v>
      </c>
      <c r="L25" s="13" t="s">
        <v>122</v>
      </c>
      <c r="M25">
        <v>3</v>
      </c>
      <c r="N25" s="13" t="s">
        <v>24</v>
      </c>
    </row>
    <row r="26" spans="1:14" x14ac:dyDescent="0.3">
      <c r="A26">
        <v>4025</v>
      </c>
      <c r="B26" s="13" t="s">
        <v>70</v>
      </c>
      <c r="C26" s="13" t="s">
        <v>4</v>
      </c>
      <c r="D26" s="13" t="s">
        <v>5</v>
      </c>
      <c r="E26">
        <v>56.5</v>
      </c>
      <c r="F26">
        <v>88.04</v>
      </c>
      <c r="G26">
        <v>70</v>
      </c>
      <c r="H26">
        <v>18</v>
      </c>
      <c r="I26">
        <v>65</v>
      </c>
      <c r="J26">
        <v>3955</v>
      </c>
      <c r="K26">
        <v>3672.5</v>
      </c>
      <c r="L26" s="13" t="s">
        <v>122</v>
      </c>
      <c r="M26">
        <v>3</v>
      </c>
      <c r="N26" s="13" t="s">
        <v>24</v>
      </c>
    </row>
    <row r="27" spans="1:14" x14ac:dyDescent="0.3">
      <c r="A27">
        <v>4026</v>
      </c>
      <c r="B27" s="13" t="s">
        <v>71</v>
      </c>
      <c r="C27" s="13" t="s">
        <v>4</v>
      </c>
      <c r="D27" s="13" t="s">
        <v>5</v>
      </c>
      <c r="E27">
        <v>394.61</v>
      </c>
      <c r="F27">
        <v>674.64</v>
      </c>
      <c r="G27">
        <v>48</v>
      </c>
      <c r="H27">
        <v>40</v>
      </c>
      <c r="I27">
        <v>34</v>
      </c>
      <c r="J27">
        <v>18941.28</v>
      </c>
      <c r="K27">
        <v>13416.74</v>
      </c>
      <c r="L27" s="13" t="s">
        <v>122</v>
      </c>
      <c r="M27">
        <v>3</v>
      </c>
      <c r="N27" s="13" t="s">
        <v>24</v>
      </c>
    </row>
    <row r="28" spans="1:14" x14ac:dyDescent="0.3">
      <c r="A28">
        <v>4027</v>
      </c>
      <c r="B28" s="13" t="s">
        <v>72</v>
      </c>
      <c r="C28" s="13" t="s">
        <v>4</v>
      </c>
      <c r="D28" s="13" t="s">
        <v>5</v>
      </c>
      <c r="E28">
        <v>62.07</v>
      </c>
      <c r="F28">
        <v>87.25</v>
      </c>
      <c r="G28">
        <v>29</v>
      </c>
      <c r="H28">
        <v>31</v>
      </c>
      <c r="I28">
        <v>34</v>
      </c>
      <c r="J28">
        <v>1800.03</v>
      </c>
      <c r="K28">
        <v>2110.38</v>
      </c>
      <c r="L28" s="13" t="s">
        <v>121</v>
      </c>
      <c r="M28">
        <v>3</v>
      </c>
      <c r="N28" s="13" t="s">
        <v>24</v>
      </c>
    </row>
    <row r="29" spans="1:14" x14ac:dyDescent="0.3">
      <c r="A29">
        <v>4028</v>
      </c>
      <c r="B29" s="13" t="s">
        <v>73</v>
      </c>
      <c r="C29" s="13" t="s">
        <v>6</v>
      </c>
      <c r="D29" s="13" t="s">
        <v>7</v>
      </c>
      <c r="E29">
        <v>195.02</v>
      </c>
      <c r="F29">
        <v>322.45999999999998</v>
      </c>
      <c r="G29">
        <v>33</v>
      </c>
      <c r="H29">
        <v>19</v>
      </c>
      <c r="I29">
        <v>20</v>
      </c>
      <c r="J29">
        <v>6435.6600000000008</v>
      </c>
      <c r="K29">
        <v>3900.4</v>
      </c>
      <c r="L29" s="13" t="s">
        <v>122</v>
      </c>
      <c r="M29">
        <v>10</v>
      </c>
      <c r="N29" s="13" t="s">
        <v>27</v>
      </c>
    </row>
    <row r="30" spans="1:14" x14ac:dyDescent="0.3">
      <c r="A30">
        <v>4029</v>
      </c>
      <c r="B30" s="13" t="s">
        <v>74</v>
      </c>
      <c r="C30" s="13" t="s">
        <v>6</v>
      </c>
      <c r="D30" s="13" t="s">
        <v>7</v>
      </c>
      <c r="E30">
        <v>168.74</v>
      </c>
      <c r="F30">
        <v>256.75</v>
      </c>
      <c r="G30">
        <v>72</v>
      </c>
      <c r="H30">
        <v>20</v>
      </c>
      <c r="I30">
        <v>80</v>
      </c>
      <c r="J30">
        <v>12149.28</v>
      </c>
      <c r="K30">
        <v>13499.2</v>
      </c>
      <c r="L30" s="13" t="s">
        <v>122</v>
      </c>
      <c r="M30">
        <v>10</v>
      </c>
      <c r="N30" s="13" t="s">
        <v>27</v>
      </c>
    </row>
    <row r="31" spans="1:14" x14ac:dyDescent="0.3">
      <c r="A31">
        <v>4030</v>
      </c>
      <c r="B31" s="13" t="s">
        <v>75</v>
      </c>
      <c r="C31" s="13" t="s">
        <v>6</v>
      </c>
      <c r="D31" s="13" t="s">
        <v>7</v>
      </c>
      <c r="E31">
        <v>276.82</v>
      </c>
      <c r="F31">
        <v>445.49</v>
      </c>
      <c r="G31">
        <v>79</v>
      </c>
      <c r="H31">
        <v>30</v>
      </c>
      <c r="I31">
        <v>63</v>
      </c>
      <c r="J31">
        <v>21868.78</v>
      </c>
      <c r="K31">
        <v>17439.66</v>
      </c>
      <c r="L31" s="13" t="s">
        <v>122</v>
      </c>
      <c r="M31">
        <v>10</v>
      </c>
      <c r="N31" s="13" t="s">
        <v>27</v>
      </c>
    </row>
    <row r="32" spans="1:14" x14ac:dyDescent="0.3">
      <c r="A32">
        <v>4031</v>
      </c>
      <c r="B32" s="13" t="s">
        <v>76</v>
      </c>
      <c r="C32" s="13" t="s">
        <v>6</v>
      </c>
      <c r="D32" s="13" t="s">
        <v>7</v>
      </c>
      <c r="E32">
        <v>23.49</v>
      </c>
      <c r="F32">
        <v>43.22</v>
      </c>
      <c r="G32">
        <v>99</v>
      </c>
      <c r="H32">
        <v>40</v>
      </c>
      <c r="I32">
        <v>75</v>
      </c>
      <c r="J32">
        <v>2325.5099999999998</v>
      </c>
      <c r="K32">
        <v>1761.7499999999998</v>
      </c>
      <c r="L32" s="13" t="s">
        <v>122</v>
      </c>
      <c r="M32">
        <v>10</v>
      </c>
      <c r="N32" s="13" t="s">
        <v>27</v>
      </c>
    </row>
    <row r="33" spans="1:14" x14ac:dyDescent="0.3">
      <c r="A33">
        <v>4032</v>
      </c>
      <c r="B33" s="13" t="s">
        <v>77</v>
      </c>
      <c r="C33" s="13" t="s">
        <v>6</v>
      </c>
      <c r="D33" s="13" t="s">
        <v>7</v>
      </c>
      <c r="E33">
        <v>272.87</v>
      </c>
      <c r="F33">
        <v>446.3</v>
      </c>
      <c r="G33">
        <v>50</v>
      </c>
      <c r="H33">
        <v>22</v>
      </c>
      <c r="I33">
        <v>45</v>
      </c>
      <c r="J33">
        <v>13643.5</v>
      </c>
      <c r="K33">
        <v>12279.15</v>
      </c>
      <c r="L33" s="13" t="s">
        <v>122</v>
      </c>
      <c r="M33">
        <v>10</v>
      </c>
      <c r="N33" s="13" t="s">
        <v>27</v>
      </c>
    </row>
    <row r="34" spans="1:14" x14ac:dyDescent="0.3">
      <c r="A34">
        <v>4033</v>
      </c>
      <c r="B34" s="13" t="s">
        <v>78</v>
      </c>
      <c r="C34" s="13" t="s">
        <v>6</v>
      </c>
      <c r="D34" s="13" t="s">
        <v>7</v>
      </c>
      <c r="E34">
        <v>43.21</v>
      </c>
      <c r="F34">
        <v>72.62</v>
      </c>
      <c r="G34">
        <v>7</v>
      </c>
      <c r="H34">
        <v>16</v>
      </c>
      <c r="I34">
        <v>24</v>
      </c>
      <c r="J34">
        <v>302.47000000000003</v>
      </c>
      <c r="K34">
        <v>1037.04</v>
      </c>
      <c r="L34" s="13" t="s">
        <v>121</v>
      </c>
      <c r="M34">
        <v>10</v>
      </c>
      <c r="N34" s="13" t="s">
        <v>27</v>
      </c>
    </row>
    <row r="35" spans="1:14" x14ac:dyDescent="0.3">
      <c r="A35">
        <v>4034</v>
      </c>
      <c r="B35" s="13" t="s">
        <v>79</v>
      </c>
      <c r="C35" s="13" t="s">
        <v>6</v>
      </c>
      <c r="D35" s="13" t="s">
        <v>7</v>
      </c>
      <c r="E35">
        <v>177.37</v>
      </c>
      <c r="F35">
        <v>242.28</v>
      </c>
      <c r="G35">
        <v>76</v>
      </c>
      <c r="H35">
        <v>11</v>
      </c>
      <c r="I35">
        <v>26</v>
      </c>
      <c r="J35">
        <v>13480.12</v>
      </c>
      <c r="K35">
        <v>4611.62</v>
      </c>
      <c r="L35" s="13" t="s">
        <v>122</v>
      </c>
      <c r="M35">
        <v>10</v>
      </c>
      <c r="N35" s="13" t="s">
        <v>27</v>
      </c>
    </row>
    <row r="36" spans="1:14" x14ac:dyDescent="0.3">
      <c r="A36">
        <v>4035</v>
      </c>
      <c r="B36" s="13" t="s">
        <v>80</v>
      </c>
      <c r="C36" s="13" t="s">
        <v>8</v>
      </c>
      <c r="D36" s="13" t="s">
        <v>9</v>
      </c>
      <c r="E36">
        <v>227.58</v>
      </c>
      <c r="F36">
        <v>369.13</v>
      </c>
      <c r="G36">
        <v>46</v>
      </c>
      <c r="H36">
        <v>29</v>
      </c>
      <c r="I36">
        <v>21</v>
      </c>
      <c r="J36">
        <v>10468.68</v>
      </c>
      <c r="K36">
        <v>4779.18</v>
      </c>
      <c r="L36" s="13" t="s">
        <v>122</v>
      </c>
      <c r="M36">
        <v>1</v>
      </c>
      <c r="N36" s="13" t="s">
        <v>21</v>
      </c>
    </row>
    <row r="37" spans="1:14" x14ac:dyDescent="0.3">
      <c r="A37">
        <v>4036</v>
      </c>
      <c r="B37" s="13" t="s">
        <v>81</v>
      </c>
      <c r="C37" s="13" t="s">
        <v>8</v>
      </c>
      <c r="D37" s="13" t="s">
        <v>9</v>
      </c>
      <c r="E37">
        <v>349.98</v>
      </c>
      <c r="F37">
        <v>583.91999999999996</v>
      </c>
      <c r="G37">
        <v>19</v>
      </c>
      <c r="H37">
        <v>30</v>
      </c>
      <c r="I37">
        <v>36</v>
      </c>
      <c r="J37">
        <v>6649.6200000000008</v>
      </c>
      <c r="K37">
        <v>12599.28</v>
      </c>
      <c r="L37" s="13" t="s">
        <v>121</v>
      </c>
      <c r="M37">
        <v>1</v>
      </c>
      <c r="N37" s="13" t="s">
        <v>21</v>
      </c>
    </row>
    <row r="38" spans="1:14" x14ac:dyDescent="0.3">
      <c r="A38">
        <v>4037</v>
      </c>
      <c r="B38" s="13" t="s">
        <v>82</v>
      </c>
      <c r="C38" s="13" t="s">
        <v>8</v>
      </c>
      <c r="D38" s="13" t="s">
        <v>9</v>
      </c>
      <c r="E38">
        <v>241.71</v>
      </c>
      <c r="F38">
        <v>382.99</v>
      </c>
      <c r="G38">
        <v>14</v>
      </c>
      <c r="H38">
        <v>37</v>
      </c>
      <c r="I38">
        <v>51</v>
      </c>
      <c r="J38">
        <v>3383.94</v>
      </c>
      <c r="K38">
        <v>12327.210000000001</v>
      </c>
      <c r="L38" s="13" t="s">
        <v>121</v>
      </c>
      <c r="M38">
        <v>1</v>
      </c>
      <c r="N38" s="13" t="s">
        <v>21</v>
      </c>
    </row>
    <row r="39" spans="1:14" x14ac:dyDescent="0.3">
      <c r="A39">
        <v>4038</v>
      </c>
      <c r="B39" s="13" t="s">
        <v>83</v>
      </c>
      <c r="C39" s="13" t="s">
        <v>8</v>
      </c>
      <c r="D39" s="13" t="s">
        <v>9</v>
      </c>
      <c r="E39">
        <v>397.25</v>
      </c>
      <c r="F39">
        <v>627.49</v>
      </c>
      <c r="G39">
        <v>61</v>
      </c>
      <c r="H39">
        <v>19</v>
      </c>
      <c r="I39">
        <v>25</v>
      </c>
      <c r="J39">
        <v>24232.25</v>
      </c>
      <c r="K39">
        <v>9931.25</v>
      </c>
      <c r="L39" s="13" t="s">
        <v>122</v>
      </c>
      <c r="M39">
        <v>1</v>
      </c>
      <c r="N39" s="13" t="s">
        <v>21</v>
      </c>
    </row>
    <row r="40" spans="1:14" x14ac:dyDescent="0.3">
      <c r="A40">
        <v>4039</v>
      </c>
      <c r="B40" s="13" t="s">
        <v>84</v>
      </c>
      <c r="C40" s="13" t="s">
        <v>8</v>
      </c>
      <c r="D40" s="13" t="s">
        <v>9</v>
      </c>
      <c r="E40">
        <v>42.67</v>
      </c>
      <c r="F40">
        <v>64.239999999999995</v>
      </c>
      <c r="G40">
        <v>33</v>
      </c>
      <c r="H40">
        <v>25</v>
      </c>
      <c r="I40">
        <v>73</v>
      </c>
      <c r="J40">
        <v>1408.1100000000001</v>
      </c>
      <c r="K40">
        <v>3114.9100000000003</v>
      </c>
      <c r="L40" s="13" t="s">
        <v>122</v>
      </c>
      <c r="M40">
        <v>1</v>
      </c>
      <c r="N40" s="13" t="s">
        <v>21</v>
      </c>
    </row>
    <row r="41" spans="1:14" x14ac:dyDescent="0.3">
      <c r="A41">
        <v>4040</v>
      </c>
      <c r="B41" s="13" t="s">
        <v>85</v>
      </c>
      <c r="C41" s="13" t="s">
        <v>10</v>
      </c>
      <c r="D41" s="13" t="s">
        <v>11</v>
      </c>
      <c r="E41">
        <v>66.25</v>
      </c>
      <c r="F41">
        <v>87.04</v>
      </c>
      <c r="G41">
        <v>67</v>
      </c>
      <c r="H41">
        <v>21</v>
      </c>
      <c r="I41">
        <v>29</v>
      </c>
      <c r="J41">
        <v>4438.75</v>
      </c>
      <c r="K41">
        <v>1921.25</v>
      </c>
      <c r="L41" s="13" t="s">
        <v>122</v>
      </c>
      <c r="M41">
        <v>4</v>
      </c>
      <c r="N41" s="13" t="s">
        <v>21</v>
      </c>
    </row>
    <row r="42" spans="1:14" x14ac:dyDescent="0.3">
      <c r="A42">
        <v>4041</v>
      </c>
      <c r="B42" s="13" t="s">
        <v>86</v>
      </c>
      <c r="C42" s="13" t="s">
        <v>10</v>
      </c>
      <c r="D42" s="13" t="s">
        <v>11</v>
      </c>
      <c r="E42">
        <v>276.64999999999998</v>
      </c>
      <c r="F42">
        <v>511.38</v>
      </c>
      <c r="G42">
        <v>97</v>
      </c>
      <c r="H42">
        <v>26</v>
      </c>
      <c r="I42">
        <v>39</v>
      </c>
      <c r="J42">
        <v>26835.05</v>
      </c>
      <c r="K42">
        <v>10789.349999999999</v>
      </c>
      <c r="L42" s="13" t="s">
        <v>122</v>
      </c>
      <c r="M42">
        <v>4</v>
      </c>
      <c r="N42" s="13" t="s">
        <v>21</v>
      </c>
    </row>
    <row r="43" spans="1:14" x14ac:dyDescent="0.3">
      <c r="A43">
        <v>4042</v>
      </c>
      <c r="B43" s="13" t="s">
        <v>87</v>
      </c>
      <c r="C43" s="13" t="s">
        <v>10</v>
      </c>
      <c r="D43" s="13" t="s">
        <v>11</v>
      </c>
      <c r="E43">
        <v>391.44</v>
      </c>
      <c r="F43">
        <v>711.64</v>
      </c>
      <c r="G43">
        <v>89</v>
      </c>
      <c r="H43">
        <v>37</v>
      </c>
      <c r="I43">
        <v>36</v>
      </c>
      <c r="J43">
        <v>34838.159999999996</v>
      </c>
      <c r="K43">
        <v>14091.84</v>
      </c>
      <c r="L43" s="13" t="s">
        <v>122</v>
      </c>
      <c r="M43">
        <v>4</v>
      </c>
      <c r="N43" s="13" t="s">
        <v>21</v>
      </c>
    </row>
    <row r="44" spans="1:14" x14ac:dyDescent="0.3">
      <c r="A44">
        <v>4043</v>
      </c>
      <c r="B44" s="13" t="s">
        <v>88</v>
      </c>
      <c r="C44" s="13" t="s">
        <v>10</v>
      </c>
      <c r="D44" s="13" t="s">
        <v>11</v>
      </c>
      <c r="E44">
        <v>147.94999999999999</v>
      </c>
      <c r="F44">
        <v>207.16</v>
      </c>
      <c r="G44">
        <v>98</v>
      </c>
      <c r="H44">
        <v>17</v>
      </c>
      <c r="I44">
        <v>54</v>
      </c>
      <c r="J44">
        <v>14499.099999999999</v>
      </c>
      <c r="K44">
        <v>7989.2999999999993</v>
      </c>
      <c r="L44" s="13" t="s">
        <v>122</v>
      </c>
      <c r="M44">
        <v>4</v>
      </c>
      <c r="N44" s="13" t="s">
        <v>21</v>
      </c>
    </row>
    <row r="45" spans="1:14" x14ac:dyDescent="0.3">
      <c r="A45">
        <v>4044</v>
      </c>
      <c r="B45" s="13" t="s">
        <v>89</v>
      </c>
      <c r="C45" s="13" t="s">
        <v>10</v>
      </c>
      <c r="D45" s="13" t="s">
        <v>11</v>
      </c>
      <c r="E45">
        <v>217.54</v>
      </c>
      <c r="F45">
        <v>348.42</v>
      </c>
      <c r="G45">
        <v>81</v>
      </c>
      <c r="H45">
        <v>17</v>
      </c>
      <c r="I45">
        <v>59</v>
      </c>
      <c r="J45">
        <v>17620.739999999998</v>
      </c>
      <c r="K45">
        <v>12834.859999999999</v>
      </c>
      <c r="L45" s="13" t="s">
        <v>122</v>
      </c>
      <c r="M45">
        <v>4</v>
      </c>
      <c r="N45" s="13" t="s">
        <v>21</v>
      </c>
    </row>
    <row r="46" spans="1:14" x14ac:dyDescent="0.3">
      <c r="A46">
        <v>4045</v>
      </c>
      <c r="B46" s="13" t="s">
        <v>90</v>
      </c>
      <c r="C46" s="13" t="s">
        <v>10</v>
      </c>
      <c r="D46" s="13" t="s">
        <v>11</v>
      </c>
      <c r="E46">
        <v>324.98</v>
      </c>
      <c r="F46">
        <v>614.52</v>
      </c>
      <c r="G46">
        <v>109</v>
      </c>
      <c r="H46">
        <v>16</v>
      </c>
      <c r="I46">
        <v>71</v>
      </c>
      <c r="J46">
        <v>35422.82</v>
      </c>
      <c r="K46">
        <v>23073.58</v>
      </c>
      <c r="L46" s="13" t="s">
        <v>122</v>
      </c>
      <c r="M46">
        <v>4</v>
      </c>
      <c r="N46" s="13" t="s">
        <v>21</v>
      </c>
    </row>
    <row r="47" spans="1:14" x14ac:dyDescent="0.3">
      <c r="A47">
        <v>4046</v>
      </c>
      <c r="B47" s="13" t="s">
        <v>91</v>
      </c>
      <c r="C47" s="13" t="s">
        <v>10</v>
      </c>
      <c r="D47" s="13" t="s">
        <v>11</v>
      </c>
      <c r="E47">
        <v>327.7</v>
      </c>
      <c r="F47">
        <v>571.48</v>
      </c>
      <c r="G47">
        <v>29</v>
      </c>
      <c r="H47">
        <v>16</v>
      </c>
      <c r="I47">
        <v>53</v>
      </c>
      <c r="J47">
        <v>9503.2999999999993</v>
      </c>
      <c r="K47">
        <v>17368.099999999999</v>
      </c>
      <c r="L47" s="13" t="s">
        <v>122</v>
      </c>
      <c r="M47">
        <v>4</v>
      </c>
      <c r="N47" s="13" t="s">
        <v>21</v>
      </c>
    </row>
    <row r="48" spans="1:14" x14ac:dyDescent="0.3">
      <c r="A48">
        <v>4047</v>
      </c>
      <c r="B48" s="13" t="s">
        <v>92</v>
      </c>
      <c r="C48" s="13" t="s">
        <v>10</v>
      </c>
      <c r="D48" s="13" t="s">
        <v>11</v>
      </c>
      <c r="E48">
        <v>143.51</v>
      </c>
      <c r="F48">
        <v>189.06</v>
      </c>
      <c r="G48">
        <v>3</v>
      </c>
      <c r="H48">
        <v>35</v>
      </c>
      <c r="I48">
        <v>37</v>
      </c>
      <c r="J48">
        <v>430.53</v>
      </c>
      <c r="K48">
        <v>5309.87</v>
      </c>
      <c r="L48" s="13" t="s">
        <v>121</v>
      </c>
      <c r="M48">
        <v>4</v>
      </c>
      <c r="N48" s="13" t="s">
        <v>21</v>
      </c>
    </row>
    <row r="49" spans="1:14" x14ac:dyDescent="0.3">
      <c r="A49">
        <v>4048</v>
      </c>
      <c r="B49" s="13" t="s">
        <v>93</v>
      </c>
      <c r="C49" s="13" t="s">
        <v>10</v>
      </c>
      <c r="D49" s="13" t="s">
        <v>11</v>
      </c>
      <c r="E49">
        <v>189.95</v>
      </c>
      <c r="F49">
        <v>269</v>
      </c>
      <c r="G49">
        <v>77</v>
      </c>
      <c r="H49">
        <v>40</v>
      </c>
      <c r="I49">
        <v>42</v>
      </c>
      <c r="J49">
        <v>14626.15</v>
      </c>
      <c r="K49">
        <v>7977.9</v>
      </c>
      <c r="L49" s="13" t="s">
        <v>122</v>
      </c>
      <c r="M49">
        <v>4</v>
      </c>
      <c r="N49" s="13" t="s">
        <v>21</v>
      </c>
    </row>
    <row r="50" spans="1:14" x14ac:dyDescent="0.3">
      <c r="A50">
        <v>4049</v>
      </c>
      <c r="B50" s="13" t="s">
        <v>94</v>
      </c>
      <c r="C50" s="13" t="s">
        <v>12</v>
      </c>
      <c r="D50" s="13" t="s">
        <v>13</v>
      </c>
      <c r="E50">
        <v>323.81</v>
      </c>
      <c r="F50">
        <v>561.45000000000005</v>
      </c>
      <c r="G50">
        <v>44</v>
      </c>
      <c r="H50">
        <v>40</v>
      </c>
      <c r="I50">
        <v>43</v>
      </c>
      <c r="J50">
        <v>14247.64</v>
      </c>
      <c r="K50">
        <v>13923.83</v>
      </c>
      <c r="L50" s="13" t="s">
        <v>122</v>
      </c>
      <c r="M50">
        <v>6</v>
      </c>
      <c r="N50" s="13" t="s">
        <v>24</v>
      </c>
    </row>
    <row r="51" spans="1:14" x14ac:dyDescent="0.3">
      <c r="A51">
        <v>4050</v>
      </c>
      <c r="B51" s="13" t="s">
        <v>95</v>
      </c>
      <c r="C51" s="13" t="s">
        <v>12</v>
      </c>
      <c r="D51" s="13" t="s">
        <v>13</v>
      </c>
      <c r="E51">
        <v>34.049999999999997</v>
      </c>
      <c r="F51">
        <v>46.35</v>
      </c>
      <c r="G51">
        <v>60</v>
      </c>
      <c r="H51">
        <v>16</v>
      </c>
      <c r="I51">
        <v>41</v>
      </c>
      <c r="J51">
        <v>2042.9999999999998</v>
      </c>
      <c r="K51">
        <v>1396.05</v>
      </c>
      <c r="L51" s="13" t="s">
        <v>122</v>
      </c>
      <c r="M51">
        <v>6</v>
      </c>
      <c r="N51" s="13" t="s">
        <v>24</v>
      </c>
    </row>
    <row r="52" spans="1:14" x14ac:dyDescent="0.3">
      <c r="A52">
        <v>4051</v>
      </c>
      <c r="B52" s="13" t="s">
        <v>96</v>
      </c>
      <c r="C52" s="13" t="s">
        <v>12</v>
      </c>
      <c r="D52" s="13" t="s">
        <v>13</v>
      </c>
      <c r="E52">
        <v>194.1</v>
      </c>
      <c r="F52">
        <v>367.07</v>
      </c>
      <c r="G52">
        <v>78</v>
      </c>
      <c r="H52">
        <v>36</v>
      </c>
      <c r="I52">
        <v>20</v>
      </c>
      <c r="J52">
        <v>15139.8</v>
      </c>
      <c r="K52">
        <v>3882</v>
      </c>
      <c r="L52" s="13" t="s">
        <v>122</v>
      </c>
      <c r="M52">
        <v>6</v>
      </c>
      <c r="N52" s="13" t="s">
        <v>24</v>
      </c>
    </row>
    <row r="53" spans="1:14" x14ac:dyDescent="0.3">
      <c r="A53">
        <v>4052</v>
      </c>
      <c r="B53" s="13" t="s">
        <v>97</v>
      </c>
      <c r="C53" s="13" t="s">
        <v>12</v>
      </c>
      <c r="D53" s="13" t="s">
        <v>13</v>
      </c>
      <c r="E53">
        <v>363.86</v>
      </c>
      <c r="F53">
        <v>548.12</v>
      </c>
      <c r="G53">
        <v>82</v>
      </c>
      <c r="H53">
        <v>12</v>
      </c>
      <c r="I53">
        <v>73</v>
      </c>
      <c r="J53">
        <v>29836.52</v>
      </c>
      <c r="K53">
        <v>26561.780000000002</v>
      </c>
      <c r="L53" s="13" t="s">
        <v>122</v>
      </c>
      <c r="M53">
        <v>6</v>
      </c>
      <c r="N53" s="13" t="s">
        <v>24</v>
      </c>
    </row>
    <row r="54" spans="1:14" x14ac:dyDescent="0.3">
      <c r="A54">
        <v>4053</v>
      </c>
      <c r="B54" s="13" t="s">
        <v>98</v>
      </c>
      <c r="C54" s="13" t="s">
        <v>12</v>
      </c>
      <c r="D54" s="13" t="s">
        <v>13</v>
      </c>
      <c r="E54">
        <v>264.91000000000003</v>
      </c>
      <c r="F54">
        <v>488.99</v>
      </c>
      <c r="G54">
        <v>100</v>
      </c>
      <c r="H54">
        <v>32</v>
      </c>
      <c r="I54">
        <v>68</v>
      </c>
      <c r="J54">
        <v>26491.000000000004</v>
      </c>
      <c r="K54">
        <v>18013.88</v>
      </c>
      <c r="L54" s="13" t="s">
        <v>122</v>
      </c>
      <c r="M54">
        <v>6</v>
      </c>
      <c r="N54" s="13" t="s">
        <v>24</v>
      </c>
    </row>
    <row r="55" spans="1:14" x14ac:dyDescent="0.3">
      <c r="A55">
        <v>4054</v>
      </c>
      <c r="B55" s="13" t="s">
        <v>99</v>
      </c>
      <c r="C55" s="13" t="s">
        <v>12</v>
      </c>
      <c r="D55" s="13" t="s">
        <v>13</v>
      </c>
      <c r="E55">
        <v>192.26</v>
      </c>
      <c r="F55">
        <v>270.52999999999997</v>
      </c>
      <c r="G55">
        <v>101</v>
      </c>
      <c r="H55">
        <v>30</v>
      </c>
      <c r="I55">
        <v>41</v>
      </c>
      <c r="J55">
        <v>19418.259999999998</v>
      </c>
      <c r="K55">
        <v>7882.66</v>
      </c>
      <c r="L55" s="13" t="s">
        <v>122</v>
      </c>
      <c r="M55">
        <v>6</v>
      </c>
      <c r="N55" s="13" t="s">
        <v>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986BD-309E-430D-B795-91F2B794CF81}">
  <dimension ref="A1:J61"/>
  <sheetViews>
    <sheetView workbookViewId="0">
      <selection activeCell="A4" sqref="A4"/>
    </sheetView>
  </sheetViews>
  <sheetFormatPr defaultRowHeight="14.4" x14ac:dyDescent="0.3"/>
  <cols>
    <col min="1" max="1" width="7.44140625" bestFit="1" customWidth="1"/>
    <col min="2" max="2" width="15.6640625" bestFit="1" customWidth="1"/>
    <col min="4" max="4" width="20.33203125" bestFit="1" customWidth="1"/>
    <col min="5" max="5" width="15" bestFit="1" customWidth="1"/>
    <col min="6" max="6" width="20.5546875" bestFit="1" customWidth="1"/>
    <col min="7" max="7" width="17.5546875" bestFit="1" customWidth="1"/>
    <col min="8" max="8" width="10.44140625" bestFit="1" customWidth="1"/>
    <col min="9" max="9" width="11.109375" bestFit="1" customWidth="1"/>
    <col min="10" max="10" width="12.109375" bestFit="1" customWidth="1"/>
  </cols>
  <sheetData>
    <row r="1" spans="1:10" x14ac:dyDescent="0.3">
      <c r="A1" t="s">
        <v>100</v>
      </c>
      <c r="B1" t="s">
        <v>101</v>
      </c>
      <c r="C1" t="s">
        <v>34</v>
      </c>
      <c r="D1" t="s">
        <v>35</v>
      </c>
      <c r="E1" t="s">
        <v>36</v>
      </c>
      <c r="F1" t="s">
        <v>37</v>
      </c>
      <c r="G1" t="s">
        <v>102</v>
      </c>
      <c r="H1" t="s">
        <v>38</v>
      </c>
      <c r="I1" t="s">
        <v>103</v>
      </c>
      <c r="J1" t="s">
        <v>104</v>
      </c>
    </row>
    <row r="2" spans="1:10" x14ac:dyDescent="0.3">
      <c r="A2">
        <v>6001</v>
      </c>
      <c r="B2" s="14">
        <v>46291</v>
      </c>
      <c r="C2">
        <v>4047</v>
      </c>
      <c r="D2" s="13" t="s">
        <v>92</v>
      </c>
      <c r="E2" s="13" t="s">
        <v>10</v>
      </c>
      <c r="F2" s="13" t="s">
        <v>11</v>
      </c>
      <c r="G2">
        <v>35</v>
      </c>
      <c r="H2">
        <v>143.51</v>
      </c>
      <c r="I2">
        <v>5022.8499999999995</v>
      </c>
      <c r="J2" s="15">
        <v>46266</v>
      </c>
    </row>
    <row r="3" spans="1:10" x14ac:dyDescent="0.3">
      <c r="A3">
        <v>6002</v>
      </c>
      <c r="B3" s="14">
        <v>46186</v>
      </c>
      <c r="C3">
        <v>4048</v>
      </c>
      <c r="D3" s="13" t="s">
        <v>93</v>
      </c>
      <c r="E3" s="13" t="s">
        <v>10</v>
      </c>
      <c r="F3" s="13" t="s">
        <v>11</v>
      </c>
      <c r="G3">
        <v>15</v>
      </c>
      <c r="H3">
        <v>189.95</v>
      </c>
      <c r="I3">
        <v>2849.25</v>
      </c>
      <c r="J3" s="15">
        <v>46174</v>
      </c>
    </row>
    <row r="4" spans="1:10" x14ac:dyDescent="0.3">
      <c r="A4">
        <v>6003</v>
      </c>
      <c r="B4" s="14">
        <v>46118</v>
      </c>
      <c r="C4">
        <v>4011</v>
      </c>
      <c r="D4" s="13" t="s">
        <v>56</v>
      </c>
      <c r="E4" s="13" t="s">
        <v>2</v>
      </c>
      <c r="F4" s="13" t="s">
        <v>3</v>
      </c>
      <c r="G4">
        <v>18</v>
      </c>
      <c r="H4">
        <v>187.31</v>
      </c>
      <c r="I4">
        <v>3371.58</v>
      </c>
      <c r="J4" s="15">
        <v>46113</v>
      </c>
    </row>
    <row r="5" spans="1:10" x14ac:dyDescent="0.3">
      <c r="A5">
        <v>6004</v>
      </c>
      <c r="B5" s="14">
        <v>46270</v>
      </c>
      <c r="C5">
        <v>4038</v>
      </c>
      <c r="D5" s="13" t="s">
        <v>83</v>
      </c>
      <c r="E5" s="13" t="s">
        <v>8</v>
      </c>
      <c r="F5" s="13" t="s">
        <v>9</v>
      </c>
      <c r="G5">
        <v>39</v>
      </c>
      <c r="H5">
        <v>397.25</v>
      </c>
      <c r="I5">
        <v>15492.75</v>
      </c>
      <c r="J5" s="15">
        <v>46266</v>
      </c>
    </row>
    <row r="6" spans="1:10" x14ac:dyDescent="0.3">
      <c r="A6">
        <v>6005</v>
      </c>
      <c r="B6" s="14">
        <v>46117</v>
      </c>
      <c r="C6">
        <v>4040</v>
      </c>
      <c r="D6" s="13" t="s">
        <v>85</v>
      </c>
      <c r="E6" s="13" t="s">
        <v>10</v>
      </c>
      <c r="F6" s="13" t="s">
        <v>11</v>
      </c>
      <c r="G6">
        <v>48</v>
      </c>
      <c r="H6">
        <v>66.25</v>
      </c>
      <c r="I6">
        <v>3180</v>
      </c>
      <c r="J6" s="15">
        <v>46113</v>
      </c>
    </row>
    <row r="7" spans="1:10" x14ac:dyDescent="0.3">
      <c r="A7">
        <v>6006</v>
      </c>
      <c r="B7" s="14">
        <v>46195</v>
      </c>
      <c r="C7">
        <v>4023</v>
      </c>
      <c r="D7" s="13" t="s">
        <v>68</v>
      </c>
      <c r="E7" s="13" t="s">
        <v>4</v>
      </c>
      <c r="F7" s="13" t="s">
        <v>5</v>
      </c>
      <c r="G7">
        <v>19</v>
      </c>
      <c r="H7">
        <v>116.4</v>
      </c>
      <c r="I7">
        <v>2211.6</v>
      </c>
      <c r="J7" s="15">
        <v>46174</v>
      </c>
    </row>
    <row r="8" spans="1:10" x14ac:dyDescent="0.3">
      <c r="A8">
        <v>6007</v>
      </c>
      <c r="B8" s="14">
        <v>46160</v>
      </c>
      <c r="C8">
        <v>4009</v>
      </c>
      <c r="D8" s="13" t="s">
        <v>54</v>
      </c>
      <c r="E8" s="13" t="s">
        <v>2</v>
      </c>
      <c r="F8" s="13" t="s">
        <v>3</v>
      </c>
      <c r="G8">
        <v>11</v>
      </c>
      <c r="H8">
        <v>76.77</v>
      </c>
      <c r="I8">
        <v>844.46999999999991</v>
      </c>
      <c r="J8" s="15">
        <v>46143</v>
      </c>
    </row>
    <row r="9" spans="1:10" x14ac:dyDescent="0.3">
      <c r="A9">
        <v>6008</v>
      </c>
      <c r="B9" s="14">
        <v>46291</v>
      </c>
      <c r="C9">
        <v>4047</v>
      </c>
      <c r="D9" s="13" t="s">
        <v>92</v>
      </c>
      <c r="E9" s="13" t="s">
        <v>10</v>
      </c>
      <c r="F9" s="13" t="s">
        <v>11</v>
      </c>
      <c r="G9">
        <v>51</v>
      </c>
      <c r="H9">
        <v>143.51</v>
      </c>
      <c r="I9">
        <v>7319.0099999999993</v>
      </c>
      <c r="J9" s="15">
        <v>46266</v>
      </c>
    </row>
    <row r="10" spans="1:10" x14ac:dyDescent="0.3">
      <c r="A10">
        <v>6009</v>
      </c>
      <c r="B10" s="14">
        <v>46282</v>
      </c>
      <c r="C10">
        <v>4048</v>
      </c>
      <c r="D10" s="13" t="s">
        <v>93</v>
      </c>
      <c r="E10" s="13" t="s">
        <v>10</v>
      </c>
      <c r="F10" s="13" t="s">
        <v>11</v>
      </c>
      <c r="G10">
        <v>18</v>
      </c>
      <c r="H10">
        <v>189.95</v>
      </c>
      <c r="I10">
        <v>3419.1</v>
      </c>
      <c r="J10" s="15">
        <v>46266</v>
      </c>
    </row>
    <row r="11" spans="1:10" x14ac:dyDescent="0.3">
      <c r="A11">
        <v>6010</v>
      </c>
      <c r="B11" s="14">
        <v>46201</v>
      </c>
      <c r="C11">
        <v>4013</v>
      </c>
      <c r="D11" s="13" t="s">
        <v>58</v>
      </c>
      <c r="E11" s="13" t="s">
        <v>2</v>
      </c>
      <c r="F11" s="13" t="s">
        <v>3</v>
      </c>
      <c r="G11">
        <v>23</v>
      </c>
      <c r="H11">
        <v>211.03</v>
      </c>
      <c r="I11">
        <v>4853.6899999999996</v>
      </c>
      <c r="J11" s="15">
        <v>46174</v>
      </c>
    </row>
    <row r="12" spans="1:10" x14ac:dyDescent="0.3">
      <c r="A12">
        <v>6011</v>
      </c>
      <c r="B12" s="14">
        <v>46274</v>
      </c>
      <c r="C12">
        <v>4014</v>
      </c>
      <c r="D12" s="13" t="s">
        <v>59</v>
      </c>
      <c r="E12" s="13" t="s">
        <v>2</v>
      </c>
      <c r="F12" s="13" t="s">
        <v>3</v>
      </c>
      <c r="G12">
        <v>28</v>
      </c>
      <c r="H12">
        <v>244.37</v>
      </c>
      <c r="I12">
        <v>6842.3600000000006</v>
      </c>
      <c r="J12" s="15">
        <v>46266</v>
      </c>
    </row>
    <row r="13" spans="1:10" x14ac:dyDescent="0.3">
      <c r="A13">
        <v>6012</v>
      </c>
      <c r="B13" s="14">
        <v>46150</v>
      </c>
      <c r="C13">
        <v>4049</v>
      </c>
      <c r="D13" s="13" t="s">
        <v>94</v>
      </c>
      <c r="E13" s="13" t="s">
        <v>12</v>
      </c>
      <c r="F13" s="13" t="s">
        <v>13</v>
      </c>
      <c r="G13">
        <v>47</v>
      </c>
      <c r="H13">
        <v>323.81</v>
      </c>
      <c r="I13">
        <v>15219.07</v>
      </c>
      <c r="J13" s="15">
        <v>46143</v>
      </c>
    </row>
    <row r="14" spans="1:10" x14ac:dyDescent="0.3">
      <c r="A14">
        <v>6013</v>
      </c>
      <c r="B14" s="14">
        <v>46212</v>
      </c>
      <c r="C14">
        <v>4035</v>
      </c>
      <c r="D14" s="13" t="s">
        <v>80</v>
      </c>
      <c r="E14" s="13" t="s">
        <v>8</v>
      </c>
      <c r="F14" s="13" t="s">
        <v>9</v>
      </c>
      <c r="G14">
        <v>36</v>
      </c>
      <c r="H14">
        <v>227.58</v>
      </c>
      <c r="I14">
        <v>8192.880000000001</v>
      </c>
      <c r="J14" s="15">
        <v>46204</v>
      </c>
    </row>
    <row r="15" spans="1:10" x14ac:dyDescent="0.3">
      <c r="A15">
        <v>6014</v>
      </c>
      <c r="B15" s="14">
        <v>46236</v>
      </c>
      <c r="C15">
        <v>4048</v>
      </c>
      <c r="D15" s="13" t="s">
        <v>93</v>
      </c>
      <c r="E15" s="13" t="s">
        <v>10</v>
      </c>
      <c r="F15" s="13" t="s">
        <v>11</v>
      </c>
      <c r="G15">
        <v>32</v>
      </c>
      <c r="H15">
        <v>189.95</v>
      </c>
      <c r="I15">
        <v>6078.4</v>
      </c>
      <c r="J15" s="15">
        <v>46235</v>
      </c>
    </row>
    <row r="16" spans="1:10" x14ac:dyDescent="0.3">
      <c r="A16">
        <v>6015</v>
      </c>
      <c r="B16" s="14">
        <v>46195</v>
      </c>
      <c r="C16">
        <v>4038</v>
      </c>
      <c r="D16" s="13" t="s">
        <v>83</v>
      </c>
      <c r="E16" s="13" t="s">
        <v>8</v>
      </c>
      <c r="F16" s="13" t="s">
        <v>9</v>
      </c>
      <c r="G16">
        <v>43</v>
      </c>
      <c r="H16">
        <v>397.25</v>
      </c>
      <c r="I16">
        <v>17081.75</v>
      </c>
      <c r="J16" s="15">
        <v>46174</v>
      </c>
    </row>
    <row r="17" spans="1:10" x14ac:dyDescent="0.3">
      <c r="A17">
        <v>6016</v>
      </c>
      <c r="B17" s="14">
        <v>46200</v>
      </c>
      <c r="C17">
        <v>4033</v>
      </c>
      <c r="D17" s="13" t="s">
        <v>78</v>
      </c>
      <c r="E17" s="13" t="s">
        <v>6</v>
      </c>
      <c r="F17" s="13" t="s">
        <v>7</v>
      </c>
      <c r="G17">
        <v>18</v>
      </c>
      <c r="H17">
        <v>43.21</v>
      </c>
      <c r="I17">
        <v>777.78</v>
      </c>
      <c r="J17" s="15">
        <v>46174</v>
      </c>
    </row>
    <row r="18" spans="1:10" x14ac:dyDescent="0.3">
      <c r="A18">
        <v>6017</v>
      </c>
      <c r="B18" s="14">
        <v>46147</v>
      </c>
      <c r="C18">
        <v>4034</v>
      </c>
      <c r="D18" s="13" t="s">
        <v>79</v>
      </c>
      <c r="E18" s="13" t="s">
        <v>6</v>
      </c>
      <c r="F18" s="13" t="s">
        <v>7</v>
      </c>
      <c r="G18">
        <v>42</v>
      </c>
      <c r="H18">
        <v>177.37</v>
      </c>
      <c r="I18">
        <v>7449.54</v>
      </c>
      <c r="J18" s="15">
        <v>46143</v>
      </c>
    </row>
    <row r="19" spans="1:10" x14ac:dyDescent="0.3">
      <c r="A19">
        <v>6018</v>
      </c>
      <c r="B19" s="14">
        <v>46293</v>
      </c>
      <c r="C19">
        <v>4029</v>
      </c>
      <c r="D19" s="13" t="s">
        <v>74</v>
      </c>
      <c r="E19" s="13" t="s">
        <v>6</v>
      </c>
      <c r="F19" s="13" t="s">
        <v>7</v>
      </c>
      <c r="G19">
        <v>59</v>
      </c>
      <c r="H19">
        <v>168.74</v>
      </c>
      <c r="I19">
        <v>9955.66</v>
      </c>
      <c r="J19" s="15">
        <v>46266</v>
      </c>
    </row>
    <row r="20" spans="1:10" x14ac:dyDescent="0.3">
      <c r="A20">
        <v>6019</v>
      </c>
      <c r="B20" s="14">
        <v>46254</v>
      </c>
      <c r="C20">
        <v>4001</v>
      </c>
      <c r="D20" s="13" t="s">
        <v>46</v>
      </c>
      <c r="E20" s="13" t="s">
        <v>2</v>
      </c>
      <c r="F20" s="13" t="s">
        <v>3</v>
      </c>
      <c r="G20">
        <v>59</v>
      </c>
      <c r="H20">
        <v>379.25</v>
      </c>
      <c r="I20">
        <v>22375.75</v>
      </c>
      <c r="J20" s="15">
        <v>46235</v>
      </c>
    </row>
    <row r="21" spans="1:10" x14ac:dyDescent="0.3">
      <c r="A21">
        <v>6020</v>
      </c>
      <c r="B21" s="14">
        <v>46240</v>
      </c>
      <c r="C21">
        <v>4010</v>
      </c>
      <c r="D21" s="13" t="s">
        <v>55</v>
      </c>
      <c r="E21" s="13" t="s">
        <v>2</v>
      </c>
      <c r="F21" s="13" t="s">
        <v>3</v>
      </c>
      <c r="G21">
        <v>40</v>
      </c>
      <c r="H21">
        <v>25.72</v>
      </c>
      <c r="I21">
        <v>1028.8</v>
      </c>
      <c r="J21" s="15">
        <v>46235</v>
      </c>
    </row>
    <row r="22" spans="1:10" x14ac:dyDescent="0.3">
      <c r="A22">
        <v>6021</v>
      </c>
      <c r="B22" s="14">
        <v>46166</v>
      </c>
      <c r="C22">
        <v>4008</v>
      </c>
      <c r="D22" s="13" t="s">
        <v>53</v>
      </c>
      <c r="E22" s="13" t="s">
        <v>2</v>
      </c>
      <c r="F22" s="13" t="s">
        <v>3</v>
      </c>
      <c r="G22">
        <v>45</v>
      </c>
      <c r="H22">
        <v>326.82</v>
      </c>
      <c r="I22">
        <v>14706.9</v>
      </c>
      <c r="J22" s="15">
        <v>46143</v>
      </c>
    </row>
    <row r="23" spans="1:10" x14ac:dyDescent="0.3">
      <c r="A23">
        <v>6022</v>
      </c>
      <c r="B23" s="14">
        <v>46276</v>
      </c>
      <c r="C23">
        <v>4044</v>
      </c>
      <c r="D23" s="13" t="s">
        <v>89</v>
      </c>
      <c r="E23" s="13" t="s">
        <v>10</v>
      </c>
      <c r="F23" s="13" t="s">
        <v>11</v>
      </c>
      <c r="G23">
        <v>43</v>
      </c>
      <c r="H23">
        <v>217.54</v>
      </c>
      <c r="I23">
        <v>9354.2199999999993</v>
      </c>
      <c r="J23" s="15">
        <v>46266</v>
      </c>
    </row>
    <row r="24" spans="1:10" x14ac:dyDescent="0.3">
      <c r="A24">
        <v>6023</v>
      </c>
      <c r="B24" s="14">
        <v>46160</v>
      </c>
      <c r="C24">
        <v>4031</v>
      </c>
      <c r="D24" s="13" t="s">
        <v>76</v>
      </c>
      <c r="E24" s="13" t="s">
        <v>6</v>
      </c>
      <c r="F24" s="13" t="s">
        <v>7</v>
      </c>
      <c r="G24">
        <v>60</v>
      </c>
      <c r="H24">
        <v>23.49</v>
      </c>
      <c r="I24">
        <v>1409.3999999999999</v>
      </c>
      <c r="J24" s="15">
        <v>46143</v>
      </c>
    </row>
    <row r="25" spans="1:10" x14ac:dyDescent="0.3">
      <c r="A25">
        <v>6024</v>
      </c>
      <c r="B25" s="14">
        <v>46283</v>
      </c>
      <c r="C25">
        <v>4004</v>
      </c>
      <c r="D25" s="13" t="s">
        <v>49</v>
      </c>
      <c r="E25" s="13" t="s">
        <v>2</v>
      </c>
      <c r="F25" s="13" t="s">
        <v>3</v>
      </c>
      <c r="G25">
        <v>25</v>
      </c>
      <c r="H25">
        <v>170.96</v>
      </c>
      <c r="I25">
        <v>4274</v>
      </c>
      <c r="J25" s="15">
        <v>46266</v>
      </c>
    </row>
    <row r="26" spans="1:10" x14ac:dyDescent="0.3">
      <c r="A26">
        <v>6025</v>
      </c>
      <c r="B26" s="14">
        <v>46243</v>
      </c>
      <c r="C26">
        <v>4003</v>
      </c>
      <c r="D26" s="13" t="s">
        <v>48</v>
      </c>
      <c r="E26" s="13" t="s">
        <v>2</v>
      </c>
      <c r="F26" s="13" t="s">
        <v>3</v>
      </c>
      <c r="G26">
        <v>59</v>
      </c>
      <c r="H26">
        <v>16.920000000000002</v>
      </c>
      <c r="I26">
        <v>998.28000000000009</v>
      </c>
      <c r="J26" s="15">
        <v>46235</v>
      </c>
    </row>
    <row r="27" spans="1:10" x14ac:dyDescent="0.3">
      <c r="A27">
        <v>6026</v>
      </c>
      <c r="B27" s="14">
        <v>46282</v>
      </c>
      <c r="C27">
        <v>4029</v>
      </c>
      <c r="D27" s="13" t="s">
        <v>74</v>
      </c>
      <c r="E27" s="13" t="s">
        <v>6</v>
      </c>
      <c r="F27" s="13" t="s">
        <v>7</v>
      </c>
      <c r="G27">
        <v>45</v>
      </c>
      <c r="H27">
        <v>168.74</v>
      </c>
      <c r="I27">
        <v>7593.3</v>
      </c>
      <c r="J27" s="15">
        <v>46266</v>
      </c>
    </row>
    <row r="28" spans="1:10" x14ac:dyDescent="0.3">
      <c r="A28">
        <v>6027</v>
      </c>
      <c r="B28" s="14">
        <v>46290</v>
      </c>
      <c r="C28">
        <v>4005</v>
      </c>
      <c r="D28" s="13" t="s">
        <v>50</v>
      </c>
      <c r="E28" s="13" t="s">
        <v>2</v>
      </c>
      <c r="F28" s="13" t="s">
        <v>3</v>
      </c>
      <c r="G28">
        <v>38</v>
      </c>
      <c r="H28">
        <v>252.99</v>
      </c>
      <c r="I28">
        <v>9613.6200000000008</v>
      </c>
      <c r="J28" s="15">
        <v>46266</v>
      </c>
    </row>
    <row r="29" spans="1:10" x14ac:dyDescent="0.3">
      <c r="A29">
        <v>6028</v>
      </c>
      <c r="B29" s="14">
        <v>46223</v>
      </c>
      <c r="C29">
        <v>4033</v>
      </c>
      <c r="D29" s="13" t="s">
        <v>78</v>
      </c>
      <c r="E29" s="13" t="s">
        <v>6</v>
      </c>
      <c r="F29" s="13" t="s">
        <v>7</v>
      </c>
      <c r="G29">
        <v>48</v>
      </c>
      <c r="H29">
        <v>43.21</v>
      </c>
      <c r="I29">
        <v>2074.08</v>
      </c>
      <c r="J29" s="15">
        <v>46204</v>
      </c>
    </row>
    <row r="30" spans="1:10" x14ac:dyDescent="0.3">
      <c r="A30">
        <v>6029</v>
      </c>
      <c r="B30" s="14">
        <v>46149</v>
      </c>
      <c r="C30">
        <v>4045</v>
      </c>
      <c r="D30" s="13" t="s">
        <v>90</v>
      </c>
      <c r="E30" s="13" t="s">
        <v>10</v>
      </c>
      <c r="F30" s="13" t="s">
        <v>11</v>
      </c>
      <c r="G30">
        <v>27</v>
      </c>
      <c r="H30">
        <v>324.98</v>
      </c>
      <c r="I30">
        <v>8774.4600000000009</v>
      </c>
      <c r="J30" s="15">
        <v>46143</v>
      </c>
    </row>
    <row r="31" spans="1:10" x14ac:dyDescent="0.3">
      <c r="A31">
        <v>6030</v>
      </c>
      <c r="B31" s="14">
        <v>46190</v>
      </c>
      <c r="C31">
        <v>4035</v>
      </c>
      <c r="D31" s="13" t="s">
        <v>80</v>
      </c>
      <c r="E31" s="13" t="s">
        <v>8</v>
      </c>
      <c r="F31" s="13" t="s">
        <v>9</v>
      </c>
      <c r="G31">
        <v>40</v>
      </c>
      <c r="H31">
        <v>227.58</v>
      </c>
      <c r="I31">
        <v>9103.2000000000007</v>
      </c>
      <c r="J31" s="15">
        <v>46174</v>
      </c>
    </row>
    <row r="32" spans="1:10" x14ac:dyDescent="0.3">
      <c r="A32">
        <v>6031</v>
      </c>
      <c r="B32" s="14">
        <v>46150</v>
      </c>
      <c r="C32">
        <v>4045</v>
      </c>
      <c r="D32" s="13" t="s">
        <v>90</v>
      </c>
      <c r="E32" s="13" t="s">
        <v>10</v>
      </c>
      <c r="F32" s="13" t="s">
        <v>11</v>
      </c>
      <c r="G32">
        <v>43</v>
      </c>
      <c r="H32">
        <v>324.98</v>
      </c>
      <c r="I32">
        <v>13974.140000000001</v>
      </c>
      <c r="J32" s="15">
        <v>46143</v>
      </c>
    </row>
    <row r="33" spans="1:10" x14ac:dyDescent="0.3">
      <c r="A33">
        <v>6032</v>
      </c>
      <c r="B33" s="14">
        <v>46221</v>
      </c>
      <c r="C33">
        <v>4013</v>
      </c>
      <c r="D33" s="13" t="s">
        <v>58</v>
      </c>
      <c r="E33" s="13" t="s">
        <v>2</v>
      </c>
      <c r="F33" s="13" t="s">
        <v>3</v>
      </c>
      <c r="G33">
        <v>38</v>
      </c>
      <c r="H33">
        <v>211.03</v>
      </c>
      <c r="I33">
        <v>8019.14</v>
      </c>
      <c r="J33" s="15">
        <v>46204</v>
      </c>
    </row>
    <row r="34" spans="1:10" x14ac:dyDescent="0.3">
      <c r="A34">
        <v>6033</v>
      </c>
      <c r="B34" s="14">
        <v>46248</v>
      </c>
      <c r="C34">
        <v>4008</v>
      </c>
      <c r="D34" s="13" t="s">
        <v>53</v>
      </c>
      <c r="E34" s="13" t="s">
        <v>2</v>
      </c>
      <c r="F34" s="13" t="s">
        <v>3</v>
      </c>
      <c r="G34">
        <v>35</v>
      </c>
      <c r="H34">
        <v>326.82</v>
      </c>
      <c r="I34">
        <v>11438.699999999999</v>
      </c>
      <c r="J34" s="15">
        <v>46235</v>
      </c>
    </row>
    <row r="35" spans="1:10" x14ac:dyDescent="0.3">
      <c r="A35">
        <v>6034</v>
      </c>
      <c r="B35" s="14">
        <v>46184</v>
      </c>
      <c r="C35">
        <v>4005</v>
      </c>
      <c r="D35" s="13" t="s">
        <v>50</v>
      </c>
      <c r="E35" s="13" t="s">
        <v>2</v>
      </c>
      <c r="F35" s="13" t="s">
        <v>3</v>
      </c>
      <c r="G35">
        <v>52</v>
      </c>
      <c r="H35">
        <v>252.99</v>
      </c>
      <c r="I35">
        <v>13155.48</v>
      </c>
      <c r="J35" s="15">
        <v>46174</v>
      </c>
    </row>
    <row r="36" spans="1:10" x14ac:dyDescent="0.3">
      <c r="A36">
        <v>6035</v>
      </c>
      <c r="B36" s="14">
        <v>46248</v>
      </c>
      <c r="C36">
        <v>4005</v>
      </c>
      <c r="D36" s="13" t="s">
        <v>50</v>
      </c>
      <c r="E36" s="13" t="s">
        <v>2</v>
      </c>
      <c r="F36" s="13" t="s">
        <v>3</v>
      </c>
      <c r="G36">
        <v>23</v>
      </c>
      <c r="H36">
        <v>252.99</v>
      </c>
      <c r="I36">
        <v>5818.77</v>
      </c>
      <c r="J36" s="15">
        <v>46235</v>
      </c>
    </row>
    <row r="37" spans="1:10" x14ac:dyDescent="0.3">
      <c r="A37">
        <v>6036</v>
      </c>
      <c r="B37" s="14">
        <v>46122</v>
      </c>
      <c r="C37">
        <v>4051</v>
      </c>
      <c r="D37" s="13" t="s">
        <v>96</v>
      </c>
      <c r="E37" s="13" t="s">
        <v>12</v>
      </c>
      <c r="F37" s="13" t="s">
        <v>13</v>
      </c>
      <c r="G37">
        <v>17</v>
      </c>
      <c r="H37">
        <v>194.1</v>
      </c>
      <c r="I37">
        <v>3299.7</v>
      </c>
      <c r="J37" s="15">
        <v>46113</v>
      </c>
    </row>
    <row r="38" spans="1:10" x14ac:dyDescent="0.3">
      <c r="A38">
        <v>6037</v>
      </c>
      <c r="B38" s="14">
        <v>46257</v>
      </c>
      <c r="C38">
        <v>4042</v>
      </c>
      <c r="D38" s="13" t="s">
        <v>87</v>
      </c>
      <c r="E38" s="13" t="s">
        <v>10</v>
      </c>
      <c r="F38" s="13" t="s">
        <v>11</v>
      </c>
      <c r="G38">
        <v>52</v>
      </c>
      <c r="H38">
        <v>391.44</v>
      </c>
      <c r="I38">
        <v>20354.88</v>
      </c>
      <c r="J38" s="15">
        <v>46235</v>
      </c>
    </row>
    <row r="39" spans="1:10" x14ac:dyDescent="0.3">
      <c r="A39">
        <v>6038</v>
      </c>
      <c r="B39" s="14">
        <v>46208</v>
      </c>
      <c r="C39">
        <v>4017</v>
      </c>
      <c r="D39" s="13" t="s">
        <v>62</v>
      </c>
      <c r="E39" s="13" t="s">
        <v>4</v>
      </c>
      <c r="F39" s="13" t="s">
        <v>5</v>
      </c>
      <c r="G39">
        <v>18</v>
      </c>
      <c r="H39">
        <v>137.37</v>
      </c>
      <c r="I39">
        <v>2472.66</v>
      </c>
      <c r="J39" s="15">
        <v>46204</v>
      </c>
    </row>
    <row r="40" spans="1:10" x14ac:dyDescent="0.3">
      <c r="A40">
        <v>6039</v>
      </c>
      <c r="B40" s="14">
        <v>46181</v>
      </c>
      <c r="C40">
        <v>4048</v>
      </c>
      <c r="D40" s="13" t="s">
        <v>93</v>
      </c>
      <c r="E40" s="13" t="s">
        <v>10</v>
      </c>
      <c r="F40" s="13" t="s">
        <v>11</v>
      </c>
      <c r="G40">
        <v>16</v>
      </c>
      <c r="H40">
        <v>189.95</v>
      </c>
      <c r="I40">
        <v>3039.2</v>
      </c>
      <c r="J40" s="15">
        <v>46174</v>
      </c>
    </row>
    <row r="41" spans="1:10" x14ac:dyDescent="0.3">
      <c r="A41">
        <v>6040</v>
      </c>
      <c r="B41" s="14">
        <v>46189</v>
      </c>
      <c r="C41">
        <v>4011</v>
      </c>
      <c r="D41" s="13" t="s">
        <v>56</v>
      </c>
      <c r="E41" s="13" t="s">
        <v>2</v>
      </c>
      <c r="F41" s="13" t="s">
        <v>3</v>
      </c>
      <c r="G41">
        <v>52</v>
      </c>
      <c r="H41">
        <v>187.31</v>
      </c>
      <c r="I41">
        <v>9740.1200000000008</v>
      </c>
      <c r="J41" s="15">
        <v>46174</v>
      </c>
    </row>
    <row r="42" spans="1:10" x14ac:dyDescent="0.3">
      <c r="A42">
        <v>6041</v>
      </c>
      <c r="B42" s="14">
        <v>46240</v>
      </c>
      <c r="C42">
        <v>4046</v>
      </c>
      <c r="D42" s="13" t="s">
        <v>91</v>
      </c>
      <c r="E42" s="13" t="s">
        <v>10</v>
      </c>
      <c r="F42" s="13" t="s">
        <v>11</v>
      </c>
      <c r="G42">
        <v>37</v>
      </c>
      <c r="H42">
        <v>327.7</v>
      </c>
      <c r="I42">
        <v>12124.9</v>
      </c>
      <c r="J42" s="15">
        <v>46235</v>
      </c>
    </row>
    <row r="43" spans="1:10" x14ac:dyDescent="0.3">
      <c r="A43">
        <v>6042</v>
      </c>
      <c r="B43" s="14">
        <v>46155</v>
      </c>
      <c r="C43">
        <v>4022</v>
      </c>
      <c r="D43" s="13" t="s">
        <v>67</v>
      </c>
      <c r="E43" s="13" t="s">
        <v>4</v>
      </c>
      <c r="F43" s="13" t="s">
        <v>5</v>
      </c>
      <c r="G43">
        <v>36</v>
      </c>
      <c r="H43">
        <v>68.88</v>
      </c>
      <c r="I43">
        <v>2479.6799999999998</v>
      </c>
      <c r="J43" s="15">
        <v>46143</v>
      </c>
    </row>
    <row r="44" spans="1:10" x14ac:dyDescent="0.3">
      <c r="A44">
        <v>6043</v>
      </c>
      <c r="B44" s="14">
        <v>46246</v>
      </c>
      <c r="C44">
        <v>4021</v>
      </c>
      <c r="D44" s="13" t="s">
        <v>66</v>
      </c>
      <c r="E44" s="13" t="s">
        <v>4</v>
      </c>
      <c r="F44" s="13" t="s">
        <v>5</v>
      </c>
      <c r="G44">
        <v>15</v>
      </c>
      <c r="H44">
        <v>155.54</v>
      </c>
      <c r="I44">
        <v>2333.1</v>
      </c>
      <c r="J44" s="15">
        <v>46235</v>
      </c>
    </row>
    <row r="45" spans="1:10" x14ac:dyDescent="0.3">
      <c r="A45">
        <v>6044</v>
      </c>
      <c r="B45" s="14">
        <v>46124</v>
      </c>
      <c r="C45">
        <v>4002</v>
      </c>
      <c r="D45" s="13" t="s">
        <v>47</v>
      </c>
      <c r="E45" s="13" t="s">
        <v>2</v>
      </c>
      <c r="F45" s="13" t="s">
        <v>3</v>
      </c>
      <c r="G45">
        <v>31</v>
      </c>
      <c r="H45">
        <v>215.28</v>
      </c>
      <c r="I45">
        <v>6673.68</v>
      </c>
      <c r="J45" s="15">
        <v>46113</v>
      </c>
    </row>
    <row r="46" spans="1:10" x14ac:dyDescent="0.3">
      <c r="A46">
        <v>6045</v>
      </c>
      <c r="B46" s="14">
        <v>46157</v>
      </c>
      <c r="C46">
        <v>4029</v>
      </c>
      <c r="D46" s="13" t="s">
        <v>74</v>
      </c>
      <c r="E46" s="13" t="s">
        <v>6</v>
      </c>
      <c r="F46" s="13" t="s">
        <v>7</v>
      </c>
      <c r="G46">
        <v>55</v>
      </c>
      <c r="H46">
        <v>168.74</v>
      </c>
      <c r="I46">
        <v>9280.7000000000007</v>
      </c>
      <c r="J46" s="15">
        <v>46143</v>
      </c>
    </row>
    <row r="47" spans="1:10" x14ac:dyDescent="0.3">
      <c r="A47">
        <v>6046</v>
      </c>
      <c r="B47" s="14">
        <v>46278</v>
      </c>
      <c r="C47">
        <v>4022</v>
      </c>
      <c r="D47" s="13" t="s">
        <v>67</v>
      </c>
      <c r="E47" s="13" t="s">
        <v>4</v>
      </c>
      <c r="F47" s="13" t="s">
        <v>5</v>
      </c>
      <c r="G47">
        <v>43</v>
      </c>
      <c r="H47">
        <v>68.88</v>
      </c>
      <c r="I47">
        <v>2961.8399999999997</v>
      </c>
      <c r="J47" s="15">
        <v>46266</v>
      </c>
    </row>
    <row r="48" spans="1:10" x14ac:dyDescent="0.3">
      <c r="A48">
        <v>6047</v>
      </c>
      <c r="B48" s="14">
        <v>46152</v>
      </c>
      <c r="C48">
        <v>4033</v>
      </c>
      <c r="D48" s="13" t="s">
        <v>78</v>
      </c>
      <c r="E48" s="13" t="s">
        <v>6</v>
      </c>
      <c r="F48" s="13" t="s">
        <v>7</v>
      </c>
      <c r="G48">
        <v>14</v>
      </c>
      <c r="H48">
        <v>43.21</v>
      </c>
      <c r="I48">
        <v>604.94000000000005</v>
      </c>
      <c r="J48" s="15">
        <v>46143</v>
      </c>
    </row>
    <row r="49" spans="1:10" x14ac:dyDescent="0.3">
      <c r="A49">
        <v>6048</v>
      </c>
      <c r="B49" s="14">
        <v>46291</v>
      </c>
      <c r="C49">
        <v>4015</v>
      </c>
      <c r="D49" s="13" t="s">
        <v>60</v>
      </c>
      <c r="E49" s="13" t="s">
        <v>4</v>
      </c>
      <c r="F49" s="13" t="s">
        <v>5</v>
      </c>
      <c r="G49">
        <v>16</v>
      </c>
      <c r="H49">
        <v>62.49</v>
      </c>
      <c r="I49">
        <v>999.84</v>
      </c>
      <c r="J49" s="15">
        <v>46266</v>
      </c>
    </row>
    <row r="50" spans="1:10" x14ac:dyDescent="0.3">
      <c r="A50">
        <v>6049</v>
      </c>
      <c r="B50" s="14">
        <v>46274</v>
      </c>
      <c r="C50">
        <v>4018</v>
      </c>
      <c r="D50" s="13" t="s">
        <v>63</v>
      </c>
      <c r="E50" s="13" t="s">
        <v>4</v>
      </c>
      <c r="F50" s="13" t="s">
        <v>5</v>
      </c>
      <c r="G50">
        <v>12</v>
      </c>
      <c r="H50">
        <v>183.57</v>
      </c>
      <c r="I50">
        <v>2202.84</v>
      </c>
      <c r="J50" s="15">
        <v>46266</v>
      </c>
    </row>
    <row r="51" spans="1:10" x14ac:dyDescent="0.3">
      <c r="A51">
        <v>6050</v>
      </c>
      <c r="B51" s="14">
        <v>46243</v>
      </c>
      <c r="C51">
        <v>4049</v>
      </c>
      <c r="D51" s="13" t="s">
        <v>94</v>
      </c>
      <c r="E51" s="13" t="s">
        <v>12</v>
      </c>
      <c r="F51" s="13" t="s">
        <v>13</v>
      </c>
      <c r="G51">
        <v>18</v>
      </c>
      <c r="H51">
        <v>323.81</v>
      </c>
      <c r="I51">
        <v>5828.58</v>
      </c>
      <c r="J51" s="15">
        <v>46235</v>
      </c>
    </row>
    <row r="52" spans="1:10" x14ac:dyDescent="0.3">
      <c r="A52">
        <v>6051</v>
      </c>
      <c r="B52" s="14">
        <v>46201</v>
      </c>
      <c r="C52">
        <v>4044</v>
      </c>
      <c r="D52" s="13" t="s">
        <v>89</v>
      </c>
      <c r="E52" s="13" t="s">
        <v>10</v>
      </c>
      <c r="F52" s="13" t="s">
        <v>11</v>
      </c>
      <c r="G52">
        <v>26</v>
      </c>
      <c r="H52">
        <v>217.54</v>
      </c>
      <c r="I52">
        <v>5656.04</v>
      </c>
      <c r="J52" s="15">
        <v>46174</v>
      </c>
    </row>
    <row r="53" spans="1:10" x14ac:dyDescent="0.3">
      <c r="A53">
        <v>6052</v>
      </c>
      <c r="B53" s="14">
        <v>46178</v>
      </c>
      <c r="C53">
        <v>4035</v>
      </c>
      <c r="D53" s="13" t="s">
        <v>80</v>
      </c>
      <c r="E53" s="13" t="s">
        <v>8</v>
      </c>
      <c r="F53" s="13" t="s">
        <v>9</v>
      </c>
      <c r="G53">
        <v>42</v>
      </c>
      <c r="H53">
        <v>227.58</v>
      </c>
      <c r="I53">
        <v>9558.36</v>
      </c>
      <c r="J53" s="15">
        <v>46174</v>
      </c>
    </row>
    <row r="54" spans="1:10" x14ac:dyDescent="0.3">
      <c r="A54">
        <v>6053</v>
      </c>
      <c r="B54" s="14">
        <v>46158</v>
      </c>
      <c r="C54">
        <v>4045</v>
      </c>
      <c r="D54" s="13" t="s">
        <v>90</v>
      </c>
      <c r="E54" s="13" t="s">
        <v>10</v>
      </c>
      <c r="F54" s="13" t="s">
        <v>11</v>
      </c>
      <c r="G54">
        <v>30</v>
      </c>
      <c r="H54">
        <v>324.98</v>
      </c>
      <c r="I54">
        <v>9749.4000000000015</v>
      </c>
      <c r="J54" s="15">
        <v>46143</v>
      </c>
    </row>
    <row r="55" spans="1:10" x14ac:dyDescent="0.3">
      <c r="A55">
        <v>6054</v>
      </c>
      <c r="B55" s="14">
        <v>46274</v>
      </c>
      <c r="C55">
        <v>4004</v>
      </c>
      <c r="D55" s="13" t="s">
        <v>49</v>
      </c>
      <c r="E55" s="13" t="s">
        <v>2</v>
      </c>
      <c r="F55" s="13" t="s">
        <v>3</v>
      </c>
      <c r="G55">
        <v>54</v>
      </c>
      <c r="H55">
        <v>170.96</v>
      </c>
      <c r="I55">
        <v>9231.84</v>
      </c>
      <c r="J55" s="15">
        <v>46266</v>
      </c>
    </row>
    <row r="56" spans="1:10" x14ac:dyDescent="0.3">
      <c r="A56">
        <v>6055</v>
      </c>
      <c r="B56" s="14">
        <v>46248</v>
      </c>
      <c r="C56">
        <v>4005</v>
      </c>
      <c r="D56" s="13" t="s">
        <v>50</v>
      </c>
      <c r="E56" s="13" t="s">
        <v>2</v>
      </c>
      <c r="F56" s="13" t="s">
        <v>3</v>
      </c>
      <c r="G56">
        <v>27</v>
      </c>
      <c r="H56">
        <v>252.99</v>
      </c>
      <c r="I56">
        <v>6830.7300000000005</v>
      </c>
      <c r="J56" s="15">
        <v>46235</v>
      </c>
    </row>
    <row r="57" spans="1:10" x14ac:dyDescent="0.3">
      <c r="A57">
        <v>6056</v>
      </c>
      <c r="B57" s="14">
        <v>46286</v>
      </c>
      <c r="C57">
        <v>4006</v>
      </c>
      <c r="D57" s="13" t="s">
        <v>51</v>
      </c>
      <c r="E57" s="13" t="s">
        <v>2</v>
      </c>
      <c r="F57" s="13" t="s">
        <v>3</v>
      </c>
      <c r="G57">
        <v>26</v>
      </c>
      <c r="H57">
        <v>159.88</v>
      </c>
      <c r="I57">
        <v>4156.88</v>
      </c>
      <c r="J57" s="15">
        <v>46266</v>
      </c>
    </row>
    <row r="58" spans="1:10" x14ac:dyDescent="0.3">
      <c r="A58">
        <v>6057</v>
      </c>
      <c r="B58" s="14">
        <v>46285</v>
      </c>
      <c r="C58">
        <v>4015</v>
      </c>
      <c r="D58" s="13" t="s">
        <v>60</v>
      </c>
      <c r="E58" s="13" t="s">
        <v>4</v>
      </c>
      <c r="F58" s="13" t="s">
        <v>5</v>
      </c>
      <c r="G58">
        <v>14</v>
      </c>
      <c r="H58">
        <v>62.49</v>
      </c>
      <c r="I58">
        <v>874.86</v>
      </c>
      <c r="J58" s="15">
        <v>46266</v>
      </c>
    </row>
    <row r="59" spans="1:10" x14ac:dyDescent="0.3">
      <c r="A59">
        <v>6058</v>
      </c>
      <c r="B59" s="14">
        <v>46231</v>
      </c>
      <c r="C59">
        <v>4008</v>
      </c>
      <c r="D59" s="13" t="s">
        <v>53</v>
      </c>
      <c r="E59" s="13" t="s">
        <v>2</v>
      </c>
      <c r="F59" s="13" t="s">
        <v>3</v>
      </c>
      <c r="G59">
        <v>39</v>
      </c>
      <c r="H59">
        <v>326.82</v>
      </c>
      <c r="I59">
        <v>12745.98</v>
      </c>
      <c r="J59" s="15">
        <v>46204</v>
      </c>
    </row>
    <row r="60" spans="1:10" x14ac:dyDescent="0.3">
      <c r="A60">
        <v>6059</v>
      </c>
      <c r="B60" s="14">
        <v>46276</v>
      </c>
      <c r="C60">
        <v>4036</v>
      </c>
      <c r="D60" s="13" t="s">
        <v>81</v>
      </c>
      <c r="E60" s="13" t="s">
        <v>8</v>
      </c>
      <c r="F60" s="13" t="s">
        <v>9</v>
      </c>
      <c r="G60">
        <v>36</v>
      </c>
      <c r="H60">
        <v>349.98</v>
      </c>
      <c r="I60">
        <v>12599.28</v>
      </c>
      <c r="J60" s="15">
        <v>46266</v>
      </c>
    </row>
    <row r="61" spans="1:10" x14ac:dyDescent="0.3">
      <c r="A61">
        <v>6060</v>
      </c>
      <c r="B61" s="14">
        <v>46223</v>
      </c>
      <c r="C61">
        <v>4009</v>
      </c>
      <c r="D61" s="13" t="s">
        <v>54</v>
      </c>
      <c r="E61" s="13" t="s">
        <v>2</v>
      </c>
      <c r="F61" s="13" t="s">
        <v>3</v>
      </c>
      <c r="G61">
        <v>12</v>
      </c>
      <c r="H61">
        <v>76.77</v>
      </c>
      <c r="I61">
        <v>921.24</v>
      </c>
      <c r="J61" s="15">
        <v>46204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E20B-2C29-477E-BCAB-988B6EC908C2}">
  <dimension ref="A1:J61"/>
  <sheetViews>
    <sheetView workbookViewId="0">
      <selection sqref="A1:J61"/>
    </sheetView>
  </sheetViews>
  <sheetFormatPr defaultRowHeight="14.4" x14ac:dyDescent="0.3"/>
  <cols>
    <col min="1" max="1" width="7.44140625" bestFit="1" customWidth="1"/>
    <col min="2" max="2" width="15.6640625" bestFit="1" customWidth="1"/>
    <col min="4" max="4" width="20.33203125" bestFit="1" customWidth="1"/>
    <col min="5" max="5" width="15" bestFit="1" customWidth="1"/>
    <col min="6" max="6" width="20.5546875" bestFit="1" customWidth="1"/>
    <col min="7" max="7" width="17.5546875" bestFit="1" customWidth="1"/>
    <col min="8" max="8" width="10.44140625" bestFit="1" customWidth="1"/>
    <col min="9" max="9" width="11.109375" bestFit="1" customWidth="1"/>
    <col min="10" max="10" width="15.6640625" bestFit="1" customWidth="1"/>
  </cols>
  <sheetData>
    <row r="1" spans="1:10" x14ac:dyDescent="0.3">
      <c r="A1" t="s">
        <v>100</v>
      </c>
      <c r="B1" t="s">
        <v>101</v>
      </c>
      <c r="C1" t="s">
        <v>34</v>
      </c>
      <c r="D1" t="s">
        <v>35</v>
      </c>
      <c r="E1" t="s">
        <v>36</v>
      </c>
      <c r="F1" t="s">
        <v>37</v>
      </c>
      <c r="G1" t="s">
        <v>102</v>
      </c>
      <c r="H1" t="s">
        <v>38</v>
      </c>
      <c r="I1" t="s">
        <v>103</v>
      </c>
      <c r="J1" t="s">
        <v>104</v>
      </c>
    </row>
    <row r="2" spans="1:10" x14ac:dyDescent="0.3">
      <c r="A2">
        <v>6001</v>
      </c>
      <c r="B2" s="14">
        <v>46291</v>
      </c>
      <c r="C2">
        <v>4047</v>
      </c>
      <c r="D2" s="13" t="s">
        <v>92</v>
      </c>
      <c r="E2" s="13" t="s">
        <v>10</v>
      </c>
      <c r="F2" s="13" t="s">
        <v>11</v>
      </c>
      <c r="G2">
        <v>35</v>
      </c>
      <c r="H2">
        <v>143.51</v>
      </c>
      <c r="I2">
        <v>5022.8499999999995</v>
      </c>
      <c r="J2" s="14">
        <v>46266</v>
      </c>
    </row>
    <row r="3" spans="1:10" x14ac:dyDescent="0.3">
      <c r="A3">
        <v>6002</v>
      </c>
      <c r="B3" s="14">
        <v>46186</v>
      </c>
      <c r="C3">
        <v>4048</v>
      </c>
      <c r="D3" s="13" t="s">
        <v>93</v>
      </c>
      <c r="E3" s="13" t="s">
        <v>10</v>
      </c>
      <c r="F3" s="13" t="s">
        <v>11</v>
      </c>
      <c r="G3">
        <v>15</v>
      </c>
      <c r="H3">
        <v>189.95</v>
      </c>
      <c r="I3">
        <v>2849.25</v>
      </c>
      <c r="J3" s="14">
        <v>46174</v>
      </c>
    </row>
    <row r="4" spans="1:10" x14ac:dyDescent="0.3">
      <c r="A4">
        <v>6003</v>
      </c>
      <c r="B4" s="14">
        <v>46118</v>
      </c>
      <c r="C4">
        <v>4011</v>
      </c>
      <c r="D4" s="13" t="s">
        <v>56</v>
      </c>
      <c r="E4" s="13" t="s">
        <v>2</v>
      </c>
      <c r="F4" s="13" t="s">
        <v>3</v>
      </c>
      <c r="G4">
        <v>18</v>
      </c>
      <c r="H4">
        <v>187.31</v>
      </c>
      <c r="I4">
        <v>3371.58</v>
      </c>
      <c r="J4" s="14">
        <v>46113</v>
      </c>
    </row>
    <row r="5" spans="1:10" x14ac:dyDescent="0.3">
      <c r="A5">
        <v>6004</v>
      </c>
      <c r="B5" s="14">
        <v>46270</v>
      </c>
      <c r="C5">
        <v>4038</v>
      </c>
      <c r="D5" s="13" t="s">
        <v>83</v>
      </c>
      <c r="E5" s="13" t="s">
        <v>8</v>
      </c>
      <c r="F5" s="13" t="s">
        <v>9</v>
      </c>
      <c r="G5">
        <v>39</v>
      </c>
      <c r="H5">
        <v>397.25</v>
      </c>
      <c r="I5">
        <v>15492.75</v>
      </c>
      <c r="J5" s="14">
        <v>46266</v>
      </c>
    </row>
    <row r="6" spans="1:10" x14ac:dyDescent="0.3">
      <c r="A6">
        <v>6005</v>
      </c>
      <c r="B6" s="14">
        <v>46117</v>
      </c>
      <c r="C6">
        <v>4040</v>
      </c>
      <c r="D6" s="13" t="s">
        <v>85</v>
      </c>
      <c r="E6" s="13" t="s">
        <v>10</v>
      </c>
      <c r="F6" s="13" t="s">
        <v>11</v>
      </c>
      <c r="G6">
        <v>48</v>
      </c>
      <c r="H6">
        <v>66.25</v>
      </c>
      <c r="I6">
        <v>3180</v>
      </c>
      <c r="J6" s="14">
        <v>46113</v>
      </c>
    </row>
    <row r="7" spans="1:10" x14ac:dyDescent="0.3">
      <c r="A7">
        <v>6006</v>
      </c>
      <c r="B7" s="14">
        <v>46195</v>
      </c>
      <c r="C7">
        <v>4023</v>
      </c>
      <c r="D7" s="13" t="s">
        <v>68</v>
      </c>
      <c r="E7" s="13" t="s">
        <v>4</v>
      </c>
      <c r="F7" s="13" t="s">
        <v>5</v>
      </c>
      <c r="G7">
        <v>19</v>
      </c>
      <c r="H7">
        <v>116.4</v>
      </c>
      <c r="I7">
        <v>2211.6</v>
      </c>
      <c r="J7" s="14">
        <v>46174</v>
      </c>
    </row>
    <row r="8" spans="1:10" x14ac:dyDescent="0.3">
      <c r="A8">
        <v>6007</v>
      </c>
      <c r="B8" s="14">
        <v>46160</v>
      </c>
      <c r="C8">
        <v>4009</v>
      </c>
      <c r="D8" s="13" t="s">
        <v>54</v>
      </c>
      <c r="E8" s="13" t="s">
        <v>2</v>
      </c>
      <c r="F8" s="13" t="s">
        <v>3</v>
      </c>
      <c r="G8">
        <v>11</v>
      </c>
      <c r="H8">
        <v>76.77</v>
      </c>
      <c r="I8">
        <v>844.46999999999991</v>
      </c>
      <c r="J8" s="14">
        <v>46143</v>
      </c>
    </row>
    <row r="9" spans="1:10" x14ac:dyDescent="0.3">
      <c r="A9">
        <v>6008</v>
      </c>
      <c r="B9" s="14">
        <v>46291</v>
      </c>
      <c r="C9">
        <v>4047</v>
      </c>
      <c r="D9" s="13" t="s">
        <v>92</v>
      </c>
      <c r="E9" s="13" t="s">
        <v>10</v>
      </c>
      <c r="F9" s="13" t="s">
        <v>11</v>
      </c>
      <c r="G9">
        <v>51</v>
      </c>
      <c r="H9">
        <v>143.51</v>
      </c>
      <c r="I9">
        <v>7319.0099999999993</v>
      </c>
      <c r="J9" s="14">
        <v>46266</v>
      </c>
    </row>
    <row r="10" spans="1:10" x14ac:dyDescent="0.3">
      <c r="A10">
        <v>6009</v>
      </c>
      <c r="B10" s="14">
        <v>46282</v>
      </c>
      <c r="C10">
        <v>4048</v>
      </c>
      <c r="D10" s="13" t="s">
        <v>93</v>
      </c>
      <c r="E10" s="13" t="s">
        <v>10</v>
      </c>
      <c r="F10" s="13" t="s">
        <v>11</v>
      </c>
      <c r="G10">
        <v>18</v>
      </c>
      <c r="H10">
        <v>189.95</v>
      </c>
      <c r="I10">
        <v>3419.1</v>
      </c>
      <c r="J10" s="14">
        <v>46266</v>
      </c>
    </row>
    <row r="11" spans="1:10" x14ac:dyDescent="0.3">
      <c r="A11">
        <v>6010</v>
      </c>
      <c r="B11" s="14">
        <v>46201</v>
      </c>
      <c r="C11">
        <v>4013</v>
      </c>
      <c r="D11" s="13" t="s">
        <v>58</v>
      </c>
      <c r="E11" s="13" t="s">
        <v>2</v>
      </c>
      <c r="F11" s="13" t="s">
        <v>3</v>
      </c>
      <c r="G11">
        <v>23</v>
      </c>
      <c r="H11">
        <v>211.03</v>
      </c>
      <c r="I11">
        <v>4853.6899999999996</v>
      </c>
      <c r="J11" s="14">
        <v>46174</v>
      </c>
    </row>
    <row r="12" spans="1:10" x14ac:dyDescent="0.3">
      <c r="A12">
        <v>6011</v>
      </c>
      <c r="B12" s="14">
        <v>46274</v>
      </c>
      <c r="C12">
        <v>4014</v>
      </c>
      <c r="D12" s="13" t="s">
        <v>59</v>
      </c>
      <c r="E12" s="13" t="s">
        <v>2</v>
      </c>
      <c r="F12" s="13" t="s">
        <v>3</v>
      </c>
      <c r="G12">
        <v>28</v>
      </c>
      <c r="H12">
        <v>244.37</v>
      </c>
      <c r="I12">
        <v>6842.3600000000006</v>
      </c>
      <c r="J12" s="14">
        <v>46266</v>
      </c>
    </row>
    <row r="13" spans="1:10" x14ac:dyDescent="0.3">
      <c r="A13">
        <v>6012</v>
      </c>
      <c r="B13" s="14">
        <v>46150</v>
      </c>
      <c r="C13">
        <v>4049</v>
      </c>
      <c r="D13" s="13" t="s">
        <v>94</v>
      </c>
      <c r="E13" s="13" t="s">
        <v>12</v>
      </c>
      <c r="F13" s="13" t="s">
        <v>13</v>
      </c>
      <c r="G13">
        <v>47</v>
      </c>
      <c r="H13">
        <v>323.81</v>
      </c>
      <c r="I13">
        <v>15219.07</v>
      </c>
      <c r="J13" s="14">
        <v>46143</v>
      </c>
    </row>
    <row r="14" spans="1:10" x14ac:dyDescent="0.3">
      <c r="A14">
        <v>6013</v>
      </c>
      <c r="B14" s="14">
        <v>46212</v>
      </c>
      <c r="C14">
        <v>4035</v>
      </c>
      <c r="D14" s="13" t="s">
        <v>80</v>
      </c>
      <c r="E14" s="13" t="s">
        <v>8</v>
      </c>
      <c r="F14" s="13" t="s">
        <v>9</v>
      </c>
      <c r="G14">
        <v>36</v>
      </c>
      <c r="H14">
        <v>227.58</v>
      </c>
      <c r="I14">
        <v>8192.880000000001</v>
      </c>
      <c r="J14" s="14">
        <v>46204</v>
      </c>
    </row>
    <row r="15" spans="1:10" x14ac:dyDescent="0.3">
      <c r="A15">
        <v>6014</v>
      </c>
      <c r="B15" s="14">
        <v>46236</v>
      </c>
      <c r="C15">
        <v>4048</v>
      </c>
      <c r="D15" s="13" t="s">
        <v>93</v>
      </c>
      <c r="E15" s="13" t="s">
        <v>10</v>
      </c>
      <c r="F15" s="13" t="s">
        <v>11</v>
      </c>
      <c r="G15">
        <v>32</v>
      </c>
      <c r="H15">
        <v>189.95</v>
      </c>
      <c r="I15">
        <v>6078.4</v>
      </c>
      <c r="J15" s="14">
        <v>46235</v>
      </c>
    </row>
    <row r="16" spans="1:10" x14ac:dyDescent="0.3">
      <c r="A16">
        <v>6015</v>
      </c>
      <c r="B16" s="14">
        <v>46195</v>
      </c>
      <c r="C16">
        <v>4038</v>
      </c>
      <c r="D16" s="13" t="s">
        <v>83</v>
      </c>
      <c r="E16" s="13" t="s">
        <v>8</v>
      </c>
      <c r="F16" s="13" t="s">
        <v>9</v>
      </c>
      <c r="G16">
        <v>43</v>
      </c>
      <c r="H16">
        <v>397.25</v>
      </c>
      <c r="I16">
        <v>17081.75</v>
      </c>
      <c r="J16" s="14">
        <v>46174</v>
      </c>
    </row>
    <row r="17" spans="1:10" x14ac:dyDescent="0.3">
      <c r="A17">
        <v>6016</v>
      </c>
      <c r="B17" s="14">
        <v>46200</v>
      </c>
      <c r="C17">
        <v>4033</v>
      </c>
      <c r="D17" s="13" t="s">
        <v>78</v>
      </c>
      <c r="E17" s="13" t="s">
        <v>6</v>
      </c>
      <c r="F17" s="13" t="s">
        <v>7</v>
      </c>
      <c r="G17">
        <v>18</v>
      </c>
      <c r="H17">
        <v>43.21</v>
      </c>
      <c r="I17">
        <v>777.78</v>
      </c>
      <c r="J17" s="14">
        <v>46174</v>
      </c>
    </row>
    <row r="18" spans="1:10" x14ac:dyDescent="0.3">
      <c r="A18">
        <v>6017</v>
      </c>
      <c r="B18" s="14">
        <v>46147</v>
      </c>
      <c r="C18">
        <v>4034</v>
      </c>
      <c r="D18" s="13" t="s">
        <v>79</v>
      </c>
      <c r="E18" s="13" t="s">
        <v>6</v>
      </c>
      <c r="F18" s="13" t="s">
        <v>7</v>
      </c>
      <c r="G18">
        <v>42</v>
      </c>
      <c r="H18">
        <v>177.37</v>
      </c>
      <c r="I18">
        <v>7449.54</v>
      </c>
      <c r="J18" s="14">
        <v>46143</v>
      </c>
    </row>
    <row r="19" spans="1:10" x14ac:dyDescent="0.3">
      <c r="A19">
        <v>6018</v>
      </c>
      <c r="B19" s="14">
        <v>46293</v>
      </c>
      <c r="C19">
        <v>4029</v>
      </c>
      <c r="D19" s="13" t="s">
        <v>74</v>
      </c>
      <c r="E19" s="13" t="s">
        <v>6</v>
      </c>
      <c r="F19" s="13" t="s">
        <v>7</v>
      </c>
      <c r="G19">
        <v>59</v>
      </c>
      <c r="H19">
        <v>168.74</v>
      </c>
      <c r="I19">
        <v>9955.66</v>
      </c>
      <c r="J19" s="14">
        <v>46266</v>
      </c>
    </row>
    <row r="20" spans="1:10" x14ac:dyDescent="0.3">
      <c r="A20">
        <v>6019</v>
      </c>
      <c r="B20" s="14">
        <v>46254</v>
      </c>
      <c r="C20">
        <v>4001</v>
      </c>
      <c r="D20" s="13" t="s">
        <v>46</v>
      </c>
      <c r="E20" s="13" t="s">
        <v>2</v>
      </c>
      <c r="F20" s="13" t="s">
        <v>3</v>
      </c>
      <c r="G20">
        <v>59</v>
      </c>
      <c r="H20">
        <v>379.25</v>
      </c>
      <c r="I20">
        <v>22375.75</v>
      </c>
      <c r="J20" s="14">
        <v>46235</v>
      </c>
    </row>
    <row r="21" spans="1:10" x14ac:dyDescent="0.3">
      <c r="A21">
        <v>6020</v>
      </c>
      <c r="B21" s="14">
        <v>46240</v>
      </c>
      <c r="C21">
        <v>4010</v>
      </c>
      <c r="D21" s="13" t="s">
        <v>55</v>
      </c>
      <c r="E21" s="13" t="s">
        <v>2</v>
      </c>
      <c r="F21" s="13" t="s">
        <v>3</v>
      </c>
      <c r="G21">
        <v>40</v>
      </c>
      <c r="H21">
        <v>25.72</v>
      </c>
      <c r="I21">
        <v>1028.8</v>
      </c>
      <c r="J21" s="14">
        <v>46235</v>
      </c>
    </row>
    <row r="22" spans="1:10" x14ac:dyDescent="0.3">
      <c r="A22">
        <v>6021</v>
      </c>
      <c r="B22" s="14">
        <v>46166</v>
      </c>
      <c r="C22">
        <v>4008</v>
      </c>
      <c r="D22" s="13" t="s">
        <v>53</v>
      </c>
      <c r="E22" s="13" t="s">
        <v>2</v>
      </c>
      <c r="F22" s="13" t="s">
        <v>3</v>
      </c>
      <c r="G22">
        <v>45</v>
      </c>
      <c r="H22">
        <v>326.82</v>
      </c>
      <c r="I22">
        <v>14706.9</v>
      </c>
      <c r="J22" s="14">
        <v>46143</v>
      </c>
    </row>
    <row r="23" spans="1:10" x14ac:dyDescent="0.3">
      <c r="A23">
        <v>6022</v>
      </c>
      <c r="B23" s="14">
        <v>46276</v>
      </c>
      <c r="C23">
        <v>4044</v>
      </c>
      <c r="D23" s="13" t="s">
        <v>89</v>
      </c>
      <c r="E23" s="13" t="s">
        <v>10</v>
      </c>
      <c r="F23" s="13" t="s">
        <v>11</v>
      </c>
      <c r="G23">
        <v>43</v>
      </c>
      <c r="H23">
        <v>217.54</v>
      </c>
      <c r="I23">
        <v>9354.2199999999993</v>
      </c>
      <c r="J23" s="14">
        <v>46266</v>
      </c>
    </row>
    <row r="24" spans="1:10" x14ac:dyDescent="0.3">
      <c r="A24">
        <v>6023</v>
      </c>
      <c r="B24" s="14">
        <v>46160</v>
      </c>
      <c r="C24">
        <v>4031</v>
      </c>
      <c r="D24" s="13" t="s">
        <v>76</v>
      </c>
      <c r="E24" s="13" t="s">
        <v>6</v>
      </c>
      <c r="F24" s="13" t="s">
        <v>7</v>
      </c>
      <c r="G24">
        <v>60</v>
      </c>
      <c r="H24">
        <v>23.49</v>
      </c>
      <c r="I24">
        <v>1409.3999999999999</v>
      </c>
      <c r="J24" s="14">
        <v>46143</v>
      </c>
    </row>
    <row r="25" spans="1:10" x14ac:dyDescent="0.3">
      <c r="A25">
        <v>6024</v>
      </c>
      <c r="B25" s="14">
        <v>46283</v>
      </c>
      <c r="C25">
        <v>4004</v>
      </c>
      <c r="D25" s="13" t="s">
        <v>49</v>
      </c>
      <c r="E25" s="13" t="s">
        <v>2</v>
      </c>
      <c r="F25" s="13" t="s">
        <v>3</v>
      </c>
      <c r="G25">
        <v>25</v>
      </c>
      <c r="H25">
        <v>170.96</v>
      </c>
      <c r="I25">
        <v>4274</v>
      </c>
      <c r="J25" s="14">
        <v>46266</v>
      </c>
    </row>
    <row r="26" spans="1:10" x14ac:dyDescent="0.3">
      <c r="A26">
        <v>6025</v>
      </c>
      <c r="B26" s="14">
        <v>46243</v>
      </c>
      <c r="C26">
        <v>4003</v>
      </c>
      <c r="D26" s="13" t="s">
        <v>48</v>
      </c>
      <c r="E26" s="13" t="s">
        <v>2</v>
      </c>
      <c r="F26" s="13" t="s">
        <v>3</v>
      </c>
      <c r="G26">
        <v>59</v>
      </c>
      <c r="H26">
        <v>16.920000000000002</v>
      </c>
      <c r="I26">
        <v>998.28000000000009</v>
      </c>
      <c r="J26" s="14">
        <v>46235</v>
      </c>
    </row>
    <row r="27" spans="1:10" x14ac:dyDescent="0.3">
      <c r="A27">
        <v>6026</v>
      </c>
      <c r="B27" s="14">
        <v>46282</v>
      </c>
      <c r="C27">
        <v>4029</v>
      </c>
      <c r="D27" s="13" t="s">
        <v>74</v>
      </c>
      <c r="E27" s="13" t="s">
        <v>6</v>
      </c>
      <c r="F27" s="13" t="s">
        <v>7</v>
      </c>
      <c r="G27">
        <v>45</v>
      </c>
      <c r="H27">
        <v>168.74</v>
      </c>
      <c r="I27">
        <v>7593.3</v>
      </c>
      <c r="J27" s="14">
        <v>46266</v>
      </c>
    </row>
    <row r="28" spans="1:10" x14ac:dyDescent="0.3">
      <c r="A28">
        <v>6027</v>
      </c>
      <c r="B28" s="14">
        <v>46290</v>
      </c>
      <c r="C28">
        <v>4005</v>
      </c>
      <c r="D28" s="13" t="s">
        <v>50</v>
      </c>
      <c r="E28" s="13" t="s">
        <v>2</v>
      </c>
      <c r="F28" s="13" t="s">
        <v>3</v>
      </c>
      <c r="G28">
        <v>38</v>
      </c>
      <c r="H28">
        <v>252.99</v>
      </c>
      <c r="I28">
        <v>9613.6200000000008</v>
      </c>
      <c r="J28" s="14">
        <v>46266</v>
      </c>
    </row>
    <row r="29" spans="1:10" x14ac:dyDescent="0.3">
      <c r="A29">
        <v>6028</v>
      </c>
      <c r="B29" s="14">
        <v>46223</v>
      </c>
      <c r="C29">
        <v>4033</v>
      </c>
      <c r="D29" s="13" t="s">
        <v>78</v>
      </c>
      <c r="E29" s="13" t="s">
        <v>6</v>
      </c>
      <c r="F29" s="13" t="s">
        <v>7</v>
      </c>
      <c r="G29">
        <v>48</v>
      </c>
      <c r="H29">
        <v>43.21</v>
      </c>
      <c r="I29">
        <v>2074.08</v>
      </c>
      <c r="J29" s="14">
        <v>46204</v>
      </c>
    </row>
    <row r="30" spans="1:10" x14ac:dyDescent="0.3">
      <c r="A30">
        <v>6029</v>
      </c>
      <c r="B30" s="14">
        <v>46149</v>
      </c>
      <c r="C30">
        <v>4045</v>
      </c>
      <c r="D30" s="13" t="s">
        <v>90</v>
      </c>
      <c r="E30" s="13" t="s">
        <v>10</v>
      </c>
      <c r="F30" s="13" t="s">
        <v>11</v>
      </c>
      <c r="G30">
        <v>27</v>
      </c>
      <c r="H30">
        <v>324.98</v>
      </c>
      <c r="I30">
        <v>8774.4600000000009</v>
      </c>
      <c r="J30" s="14">
        <v>46143</v>
      </c>
    </row>
    <row r="31" spans="1:10" x14ac:dyDescent="0.3">
      <c r="A31">
        <v>6030</v>
      </c>
      <c r="B31" s="14">
        <v>46190</v>
      </c>
      <c r="C31">
        <v>4035</v>
      </c>
      <c r="D31" s="13" t="s">
        <v>80</v>
      </c>
      <c r="E31" s="13" t="s">
        <v>8</v>
      </c>
      <c r="F31" s="13" t="s">
        <v>9</v>
      </c>
      <c r="G31">
        <v>40</v>
      </c>
      <c r="H31">
        <v>227.58</v>
      </c>
      <c r="I31">
        <v>9103.2000000000007</v>
      </c>
      <c r="J31" s="14">
        <v>46174</v>
      </c>
    </row>
    <row r="32" spans="1:10" x14ac:dyDescent="0.3">
      <c r="A32">
        <v>6031</v>
      </c>
      <c r="B32" s="14">
        <v>46150</v>
      </c>
      <c r="C32">
        <v>4045</v>
      </c>
      <c r="D32" s="13" t="s">
        <v>90</v>
      </c>
      <c r="E32" s="13" t="s">
        <v>10</v>
      </c>
      <c r="F32" s="13" t="s">
        <v>11</v>
      </c>
      <c r="G32">
        <v>43</v>
      </c>
      <c r="H32">
        <v>324.98</v>
      </c>
      <c r="I32">
        <v>13974.140000000001</v>
      </c>
      <c r="J32" s="14">
        <v>46143</v>
      </c>
    </row>
    <row r="33" spans="1:10" x14ac:dyDescent="0.3">
      <c r="A33">
        <v>6032</v>
      </c>
      <c r="B33" s="14">
        <v>46221</v>
      </c>
      <c r="C33">
        <v>4013</v>
      </c>
      <c r="D33" s="13" t="s">
        <v>58</v>
      </c>
      <c r="E33" s="13" t="s">
        <v>2</v>
      </c>
      <c r="F33" s="13" t="s">
        <v>3</v>
      </c>
      <c r="G33">
        <v>38</v>
      </c>
      <c r="H33">
        <v>211.03</v>
      </c>
      <c r="I33">
        <v>8019.14</v>
      </c>
      <c r="J33" s="14">
        <v>46204</v>
      </c>
    </row>
    <row r="34" spans="1:10" x14ac:dyDescent="0.3">
      <c r="A34">
        <v>6033</v>
      </c>
      <c r="B34" s="14">
        <v>46248</v>
      </c>
      <c r="C34">
        <v>4008</v>
      </c>
      <c r="D34" s="13" t="s">
        <v>53</v>
      </c>
      <c r="E34" s="13" t="s">
        <v>2</v>
      </c>
      <c r="F34" s="13" t="s">
        <v>3</v>
      </c>
      <c r="G34">
        <v>35</v>
      </c>
      <c r="H34">
        <v>326.82</v>
      </c>
      <c r="I34">
        <v>11438.699999999999</v>
      </c>
      <c r="J34" s="14">
        <v>46235</v>
      </c>
    </row>
    <row r="35" spans="1:10" x14ac:dyDescent="0.3">
      <c r="A35">
        <v>6034</v>
      </c>
      <c r="B35" s="14">
        <v>46184</v>
      </c>
      <c r="C35">
        <v>4005</v>
      </c>
      <c r="D35" s="13" t="s">
        <v>50</v>
      </c>
      <c r="E35" s="13" t="s">
        <v>2</v>
      </c>
      <c r="F35" s="13" t="s">
        <v>3</v>
      </c>
      <c r="G35">
        <v>52</v>
      </c>
      <c r="H35">
        <v>252.99</v>
      </c>
      <c r="I35">
        <v>13155.48</v>
      </c>
      <c r="J35" s="14">
        <v>46174</v>
      </c>
    </row>
    <row r="36" spans="1:10" x14ac:dyDescent="0.3">
      <c r="A36">
        <v>6035</v>
      </c>
      <c r="B36" s="14">
        <v>46248</v>
      </c>
      <c r="C36">
        <v>4005</v>
      </c>
      <c r="D36" s="13" t="s">
        <v>50</v>
      </c>
      <c r="E36" s="13" t="s">
        <v>2</v>
      </c>
      <c r="F36" s="13" t="s">
        <v>3</v>
      </c>
      <c r="G36">
        <v>23</v>
      </c>
      <c r="H36">
        <v>252.99</v>
      </c>
      <c r="I36">
        <v>5818.77</v>
      </c>
      <c r="J36" s="14">
        <v>46235</v>
      </c>
    </row>
    <row r="37" spans="1:10" x14ac:dyDescent="0.3">
      <c r="A37">
        <v>6036</v>
      </c>
      <c r="B37" s="14">
        <v>46122</v>
      </c>
      <c r="C37">
        <v>4051</v>
      </c>
      <c r="D37" s="13" t="s">
        <v>96</v>
      </c>
      <c r="E37" s="13" t="s">
        <v>12</v>
      </c>
      <c r="F37" s="13" t="s">
        <v>13</v>
      </c>
      <c r="G37">
        <v>17</v>
      </c>
      <c r="H37">
        <v>194.1</v>
      </c>
      <c r="I37">
        <v>3299.7</v>
      </c>
      <c r="J37" s="14">
        <v>46113</v>
      </c>
    </row>
    <row r="38" spans="1:10" x14ac:dyDescent="0.3">
      <c r="A38">
        <v>6037</v>
      </c>
      <c r="B38" s="14">
        <v>46257</v>
      </c>
      <c r="C38">
        <v>4042</v>
      </c>
      <c r="D38" s="13" t="s">
        <v>87</v>
      </c>
      <c r="E38" s="13" t="s">
        <v>10</v>
      </c>
      <c r="F38" s="13" t="s">
        <v>11</v>
      </c>
      <c r="G38">
        <v>52</v>
      </c>
      <c r="H38">
        <v>391.44</v>
      </c>
      <c r="I38">
        <v>20354.88</v>
      </c>
      <c r="J38" s="14">
        <v>46235</v>
      </c>
    </row>
    <row r="39" spans="1:10" x14ac:dyDescent="0.3">
      <c r="A39">
        <v>6038</v>
      </c>
      <c r="B39" s="14">
        <v>46208</v>
      </c>
      <c r="C39">
        <v>4017</v>
      </c>
      <c r="D39" s="13" t="s">
        <v>62</v>
      </c>
      <c r="E39" s="13" t="s">
        <v>4</v>
      </c>
      <c r="F39" s="13" t="s">
        <v>5</v>
      </c>
      <c r="G39">
        <v>18</v>
      </c>
      <c r="H39">
        <v>137.37</v>
      </c>
      <c r="I39">
        <v>2472.66</v>
      </c>
      <c r="J39" s="14">
        <v>46204</v>
      </c>
    </row>
    <row r="40" spans="1:10" x14ac:dyDescent="0.3">
      <c r="A40">
        <v>6039</v>
      </c>
      <c r="B40" s="14">
        <v>46181</v>
      </c>
      <c r="C40">
        <v>4048</v>
      </c>
      <c r="D40" s="13" t="s">
        <v>93</v>
      </c>
      <c r="E40" s="13" t="s">
        <v>10</v>
      </c>
      <c r="F40" s="13" t="s">
        <v>11</v>
      </c>
      <c r="G40">
        <v>16</v>
      </c>
      <c r="H40">
        <v>189.95</v>
      </c>
      <c r="I40">
        <v>3039.2</v>
      </c>
      <c r="J40" s="14">
        <v>46174</v>
      </c>
    </row>
    <row r="41" spans="1:10" x14ac:dyDescent="0.3">
      <c r="A41">
        <v>6040</v>
      </c>
      <c r="B41" s="14">
        <v>46189</v>
      </c>
      <c r="C41">
        <v>4011</v>
      </c>
      <c r="D41" s="13" t="s">
        <v>56</v>
      </c>
      <c r="E41" s="13" t="s">
        <v>2</v>
      </c>
      <c r="F41" s="13" t="s">
        <v>3</v>
      </c>
      <c r="G41">
        <v>52</v>
      </c>
      <c r="H41">
        <v>187.31</v>
      </c>
      <c r="I41">
        <v>9740.1200000000008</v>
      </c>
      <c r="J41" s="14">
        <v>46174</v>
      </c>
    </row>
    <row r="42" spans="1:10" x14ac:dyDescent="0.3">
      <c r="A42">
        <v>6041</v>
      </c>
      <c r="B42" s="14">
        <v>46240</v>
      </c>
      <c r="C42">
        <v>4046</v>
      </c>
      <c r="D42" s="13" t="s">
        <v>91</v>
      </c>
      <c r="E42" s="13" t="s">
        <v>10</v>
      </c>
      <c r="F42" s="13" t="s">
        <v>11</v>
      </c>
      <c r="G42">
        <v>37</v>
      </c>
      <c r="H42">
        <v>327.7</v>
      </c>
      <c r="I42">
        <v>12124.9</v>
      </c>
      <c r="J42" s="14">
        <v>46235</v>
      </c>
    </row>
    <row r="43" spans="1:10" x14ac:dyDescent="0.3">
      <c r="A43">
        <v>6042</v>
      </c>
      <c r="B43" s="14">
        <v>46155</v>
      </c>
      <c r="C43">
        <v>4022</v>
      </c>
      <c r="D43" s="13" t="s">
        <v>67</v>
      </c>
      <c r="E43" s="13" t="s">
        <v>4</v>
      </c>
      <c r="F43" s="13" t="s">
        <v>5</v>
      </c>
      <c r="G43">
        <v>36</v>
      </c>
      <c r="H43">
        <v>68.88</v>
      </c>
      <c r="I43">
        <v>2479.6799999999998</v>
      </c>
      <c r="J43" s="14">
        <v>46143</v>
      </c>
    </row>
    <row r="44" spans="1:10" x14ac:dyDescent="0.3">
      <c r="A44">
        <v>6043</v>
      </c>
      <c r="B44" s="14">
        <v>46246</v>
      </c>
      <c r="C44">
        <v>4021</v>
      </c>
      <c r="D44" s="13" t="s">
        <v>66</v>
      </c>
      <c r="E44" s="13" t="s">
        <v>4</v>
      </c>
      <c r="F44" s="13" t="s">
        <v>5</v>
      </c>
      <c r="G44">
        <v>15</v>
      </c>
      <c r="H44">
        <v>155.54</v>
      </c>
      <c r="I44">
        <v>2333.1</v>
      </c>
      <c r="J44" s="14">
        <v>46235</v>
      </c>
    </row>
    <row r="45" spans="1:10" x14ac:dyDescent="0.3">
      <c r="A45">
        <v>6044</v>
      </c>
      <c r="B45" s="14">
        <v>46124</v>
      </c>
      <c r="C45">
        <v>4002</v>
      </c>
      <c r="D45" s="13" t="s">
        <v>47</v>
      </c>
      <c r="E45" s="13" t="s">
        <v>2</v>
      </c>
      <c r="F45" s="13" t="s">
        <v>3</v>
      </c>
      <c r="G45">
        <v>31</v>
      </c>
      <c r="H45">
        <v>215.28</v>
      </c>
      <c r="I45">
        <v>6673.68</v>
      </c>
      <c r="J45" s="14">
        <v>46113</v>
      </c>
    </row>
    <row r="46" spans="1:10" x14ac:dyDescent="0.3">
      <c r="A46">
        <v>6045</v>
      </c>
      <c r="B46" s="14">
        <v>46157</v>
      </c>
      <c r="C46">
        <v>4029</v>
      </c>
      <c r="D46" s="13" t="s">
        <v>74</v>
      </c>
      <c r="E46" s="13" t="s">
        <v>6</v>
      </c>
      <c r="F46" s="13" t="s">
        <v>7</v>
      </c>
      <c r="G46">
        <v>55</v>
      </c>
      <c r="H46">
        <v>168.74</v>
      </c>
      <c r="I46">
        <v>9280.7000000000007</v>
      </c>
      <c r="J46" s="14">
        <v>46143</v>
      </c>
    </row>
    <row r="47" spans="1:10" x14ac:dyDescent="0.3">
      <c r="A47">
        <v>6046</v>
      </c>
      <c r="B47" s="14">
        <v>46278</v>
      </c>
      <c r="C47">
        <v>4022</v>
      </c>
      <c r="D47" s="13" t="s">
        <v>67</v>
      </c>
      <c r="E47" s="13" t="s">
        <v>4</v>
      </c>
      <c r="F47" s="13" t="s">
        <v>5</v>
      </c>
      <c r="G47">
        <v>43</v>
      </c>
      <c r="H47">
        <v>68.88</v>
      </c>
      <c r="I47">
        <v>2961.8399999999997</v>
      </c>
      <c r="J47" s="14">
        <v>46266</v>
      </c>
    </row>
    <row r="48" spans="1:10" x14ac:dyDescent="0.3">
      <c r="A48">
        <v>6047</v>
      </c>
      <c r="B48" s="14">
        <v>46152</v>
      </c>
      <c r="C48">
        <v>4033</v>
      </c>
      <c r="D48" s="13" t="s">
        <v>78</v>
      </c>
      <c r="E48" s="13" t="s">
        <v>6</v>
      </c>
      <c r="F48" s="13" t="s">
        <v>7</v>
      </c>
      <c r="G48">
        <v>14</v>
      </c>
      <c r="H48">
        <v>43.21</v>
      </c>
      <c r="I48">
        <v>604.94000000000005</v>
      </c>
      <c r="J48" s="14">
        <v>46143</v>
      </c>
    </row>
    <row r="49" spans="1:10" x14ac:dyDescent="0.3">
      <c r="A49">
        <v>6048</v>
      </c>
      <c r="B49" s="14">
        <v>46291</v>
      </c>
      <c r="C49">
        <v>4015</v>
      </c>
      <c r="D49" s="13" t="s">
        <v>60</v>
      </c>
      <c r="E49" s="13" t="s">
        <v>4</v>
      </c>
      <c r="F49" s="13" t="s">
        <v>5</v>
      </c>
      <c r="G49">
        <v>16</v>
      </c>
      <c r="H49">
        <v>62.49</v>
      </c>
      <c r="I49">
        <v>999.84</v>
      </c>
      <c r="J49" s="14">
        <v>46266</v>
      </c>
    </row>
    <row r="50" spans="1:10" x14ac:dyDescent="0.3">
      <c r="A50">
        <v>6049</v>
      </c>
      <c r="B50" s="14">
        <v>46274</v>
      </c>
      <c r="C50">
        <v>4018</v>
      </c>
      <c r="D50" s="13" t="s">
        <v>63</v>
      </c>
      <c r="E50" s="13" t="s">
        <v>4</v>
      </c>
      <c r="F50" s="13" t="s">
        <v>5</v>
      </c>
      <c r="G50">
        <v>12</v>
      </c>
      <c r="H50">
        <v>183.57</v>
      </c>
      <c r="I50">
        <v>2202.84</v>
      </c>
      <c r="J50" s="14">
        <v>46266</v>
      </c>
    </row>
    <row r="51" spans="1:10" x14ac:dyDescent="0.3">
      <c r="A51">
        <v>6050</v>
      </c>
      <c r="B51" s="14">
        <v>46243</v>
      </c>
      <c r="C51">
        <v>4049</v>
      </c>
      <c r="D51" s="13" t="s">
        <v>94</v>
      </c>
      <c r="E51" s="13" t="s">
        <v>12</v>
      </c>
      <c r="F51" s="13" t="s">
        <v>13</v>
      </c>
      <c r="G51">
        <v>18</v>
      </c>
      <c r="H51">
        <v>323.81</v>
      </c>
      <c r="I51">
        <v>5828.58</v>
      </c>
      <c r="J51" s="14">
        <v>46235</v>
      </c>
    </row>
    <row r="52" spans="1:10" x14ac:dyDescent="0.3">
      <c r="A52">
        <v>6051</v>
      </c>
      <c r="B52" s="14">
        <v>46201</v>
      </c>
      <c r="C52">
        <v>4044</v>
      </c>
      <c r="D52" s="13" t="s">
        <v>89</v>
      </c>
      <c r="E52" s="13" t="s">
        <v>10</v>
      </c>
      <c r="F52" s="13" t="s">
        <v>11</v>
      </c>
      <c r="G52">
        <v>26</v>
      </c>
      <c r="H52">
        <v>217.54</v>
      </c>
      <c r="I52">
        <v>5656.04</v>
      </c>
      <c r="J52" s="14">
        <v>46174</v>
      </c>
    </row>
    <row r="53" spans="1:10" x14ac:dyDescent="0.3">
      <c r="A53">
        <v>6052</v>
      </c>
      <c r="B53" s="14">
        <v>46178</v>
      </c>
      <c r="C53">
        <v>4035</v>
      </c>
      <c r="D53" s="13" t="s">
        <v>80</v>
      </c>
      <c r="E53" s="13" t="s">
        <v>8</v>
      </c>
      <c r="F53" s="13" t="s">
        <v>9</v>
      </c>
      <c r="G53">
        <v>42</v>
      </c>
      <c r="H53">
        <v>227.58</v>
      </c>
      <c r="I53">
        <v>9558.36</v>
      </c>
      <c r="J53" s="14">
        <v>46174</v>
      </c>
    </row>
    <row r="54" spans="1:10" x14ac:dyDescent="0.3">
      <c r="A54">
        <v>6053</v>
      </c>
      <c r="B54" s="14">
        <v>46158</v>
      </c>
      <c r="C54">
        <v>4045</v>
      </c>
      <c r="D54" s="13" t="s">
        <v>90</v>
      </c>
      <c r="E54" s="13" t="s">
        <v>10</v>
      </c>
      <c r="F54" s="13" t="s">
        <v>11</v>
      </c>
      <c r="G54">
        <v>30</v>
      </c>
      <c r="H54">
        <v>324.98</v>
      </c>
      <c r="I54">
        <v>9749.4000000000015</v>
      </c>
      <c r="J54" s="14">
        <v>46143</v>
      </c>
    </row>
    <row r="55" spans="1:10" x14ac:dyDescent="0.3">
      <c r="A55">
        <v>6054</v>
      </c>
      <c r="B55" s="14">
        <v>46274</v>
      </c>
      <c r="C55">
        <v>4004</v>
      </c>
      <c r="D55" s="13" t="s">
        <v>49</v>
      </c>
      <c r="E55" s="13" t="s">
        <v>2</v>
      </c>
      <c r="F55" s="13" t="s">
        <v>3</v>
      </c>
      <c r="G55">
        <v>54</v>
      </c>
      <c r="H55">
        <v>170.96</v>
      </c>
      <c r="I55">
        <v>9231.84</v>
      </c>
      <c r="J55" s="14">
        <v>46266</v>
      </c>
    </row>
    <row r="56" spans="1:10" x14ac:dyDescent="0.3">
      <c r="A56">
        <v>6055</v>
      </c>
      <c r="B56" s="14">
        <v>46248</v>
      </c>
      <c r="C56">
        <v>4005</v>
      </c>
      <c r="D56" s="13" t="s">
        <v>50</v>
      </c>
      <c r="E56" s="13" t="s">
        <v>2</v>
      </c>
      <c r="F56" s="13" t="s">
        <v>3</v>
      </c>
      <c r="G56">
        <v>27</v>
      </c>
      <c r="H56">
        <v>252.99</v>
      </c>
      <c r="I56">
        <v>6830.7300000000005</v>
      </c>
      <c r="J56" s="14">
        <v>46235</v>
      </c>
    </row>
    <row r="57" spans="1:10" x14ac:dyDescent="0.3">
      <c r="A57">
        <v>6056</v>
      </c>
      <c r="B57" s="14">
        <v>46286</v>
      </c>
      <c r="C57">
        <v>4006</v>
      </c>
      <c r="D57" s="13" t="s">
        <v>51</v>
      </c>
      <c r="E57" s="13" t="s">
        <v>2</v>
      </c>
      <c r="F57" s="13" t="s">
        <v>3</v>
      </c>
      <c r="G57">
        <v>26</v>
      </c>
      <c r="H57">
        <v>159.88</v>
      </c>
      <c r="I57">
        <v>4156.88</v>
      </c>
      <c r="J57" s="14">
        <v>46266</v>
      </c>
    </row>
    <row r="58" spans="1:10" x14ac:dyDescent="0.3">
      <c r="A58">
        <v>6057</v>
      </c>
      <c r="B58" s="14">
        <v>46285</v>
      </c>
      <c r="C58">
        <v>4015</v>
      </c>
      <c r="D58" s="13" t="s">
        <v>60</v>
      </c>
      <c r="E58" s="13" t="s">
        <v>4</v>
      </c>
      <c r="F58" s="13" t="s">
        <v>5</v>
      </c>
      <c r="G58">
        <v>14</v>
      </c>
      <c r="H58">
        <v>62.49</v>
      </c>
      <c r="I58">
        <v>874.86</v>
      </c>
      <c r="J58" s="14">
        <v>46266</v>
      </c>
    </row>
    <row r="59" spans="1:10" x14ac:dyDescent="0.3">
      <c r="A59">
        <v>6058</v>
      </c>
      <c r="B59" s="14">
        <v>46231</v>
      </c>
      <c r="C59">
        <v>4008</v>
      </c>
      <c r="D59" s="13" t="s">
        <v>53</v>
      </c>
      <c r="E59" s="13" t="s">
        <v>2</v>
      </c>
      <c r="F59" s="13" t="s">
        <v>3</v>
      </c>
      <c r="G59">
        <v>39</v>
      </c>
      <c r="H59">
        <v>326.82</v>
      </c>
      <c r="I59">
        <v>12745.98</v>
      </c>
      <c r="J59" s="14">
        <v>46204</v>
      </c>
    </row>
    <row r="60" spans="1:10" x14ac:dyDescent="0.3">
      <c r="A60">
        <v>6059</v>
      </c>
      <c r="B60" s="14">
        <v>46276</v>
      </c>
      <c r="C60">
        <v>4036</v>
      </c>
      <c r="D60" s="13" t="s">
        <v>81</v>
      </c>
      <c r="E60" s="13" t="s">
        <v>8</v>
      </c>
      <c r="F60" s="13" t="s">
        <v>9</v>
      </c>
      <c r="G60">
        <v>36</v>
      </c>
      <c r="H60">
        <v>349.98</v>
      </c>
      <c r="I60">
        <v>12599.28</v>
      </c>
      <c r="J60" s="14">
        <v>46266</v>
      </c>
    </row>
    <row r="61" spans="1:10" x14ac:dyDescent="0.3">
      <c r="A61">
        <v>6060</v>
      </c>
      <c r="B61" s="14">
        <v>46223</v>
      </c>
      <c r="C61">
        <v>4009</v>
      </c>
      <c r="D61" s="13" t="s">
        <v>54</v>
      </c>
      <c r="E61" s="13" t="s">
        <v>2</v>
      </c>
      <c r="F61" s="13" t="s">
        <v>3</v>
      </c>
      <c r="G61">
        <v>12</v>
      </c>
      <c r="H61">
        <v>76.77</v>
      </c>
      <c r="I61">
        <v>921.24</v>
      </c>
      <c r="J61" s="14">
        <v>46204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61"/>
  <sheetViews>
    <sheetView zoomScaleNormal="100" workbookViewId="0">
      <pane ySplit="1" topLeftCell="A2" activePane="bottomLeft" state="frozen"/>
      <selection pane="bottomLeft" activeCell="A6" sqref="A6"/>
    </sheetView>
  </sheetViews>
  <sheetFormatPr defaultColWidth="8.6640625" defaultRowHeight="14.4" x14ac:dyDescent="0.3"/>
  <cols>
    <col min="1" max="1" width="10" customWidth="1"/>
    <col min="2" max="2" width="12" customWidth="1"/>
    <col min="3" max="3" width="10" customWidth="1"/>
    <col min="4" max="4" width="24" customWidth="1"/>
    <col min="5" max="5" width="16" customWidth="1"/>
    <col min="6" max="6" width="24" customWidth="1"/>
    <col min="7" max="7" width="14" customWidth="1"/>
    <col min="8" max="8" width="11" customWidth="1"/>
    <col min="9" max="10" width="12" customWidth="1"/>
  </cols>
  <sheetData>
    <row r="1" spans="1:10" x14ac:dyDescent="0.3">
      <c r="A1" s="1" t="s">
        <v>100</v>
      </c>
      <c r="B1" s="1" t="s">
        <v>101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102</v>
      </c>
      <c r="H1" s="1" t="s">
        <v>38</v>
      </c>
      <c r="I1" s="1" t="s">
        <v>103</v>
      </c>
      <c r="J1" s="1" t="s">
        <v>104</v>
      </c>
    </row>
    <row r="2" spans="1:10" x14ac:dyDescent="0.3">
      <c r="A2">
        <v>6001</v>
      </c>
      <c r="B2" s="3">
        <v>46291</v>
      </c>
      <c r="C2">
        <v>4047</v>
      </c>
      <c r="D2" t="str">
        <f>IFERROR(INDEX(InventoryData[ItemName],MATCH(C2,InventoryData[ItemID],0)),"Not found")</f>
        <v>Packing Tape v1</v>
      </c>
      <c r="E2" t="str">
        <f>IFERROR(INDEX(InventoryData[Category],MATCH(C2,InventoryData[ItemID],0)),"")</f>
        <v>Packaging</v>
      </c>
      <c r="F2" t="str">
        <f>IFERROR(INDEX(InventoryData[Supplier],MATCH(C2,InventoryData[ItemID],0)),"")</f>
        <v>Shannon Packaging Ltd</v>
      </c>
      <c r="G2">
        <v>35</v>
      </c>
      <c r="H2" s="2">
        <f>IFERROR(INDEX(InventoryData[UnitCost],MATCH(C2,InventoryData[ItemID],0)),0)</f>
        <v>143.51</v>
      </c>
      <c r="I2" s="2">
        <f t="shared" ref="I2:I33" si="0">G2*H2</f>
        <v>5022.8499999999995</v>
      </c>
      <c r="J2" t="str">
        <f t="shared" ref="J2:J33" si="1">TEXT(B2,"mmm-yyyy")</f>
        <v>Sept-2026</v>
      </c>
    </row>
    <row r="3" spans="1:10" x14ac:dyDescent="0.3">
      <c r="A3">
        <v>6002</v>
      </c>
      <c r="B3" s="3">
        <v>46186</v>
      </c>
      <c r="C3">
        <v>4048</v>
      </c>
      <c r="D3" t="str">
        <f>IFERROR(INDEX(InventoryData[ItemName],MATCH(C3,InventoryData[ItemID],0)),"Not found")</f>
        <v>Packing Tape v2</v>
      </c>
      <c r="E3" t="str">
        <f>IFERROR(INDEX(InventoryData[Category],MATCH(C3,InventoryData[ItemID],0)),"")</f>
        <v>Packaging</v>
      </c>
      <c r="F3" t="str">
        <f>IFERROR(INDEX(InventoryData[Supplier],MATCH(C3,InventoryData[ItemID],0)),"")</f>
        <v>Shannon Packaging Ltd</v>
      </c>
      <c r="G3">
        <v>15</v>
      </c>
      <c r="H3" s="2">
        <f>IFERROR(INDEX(InventoryData[UnitCost],MATCH(C3,InventoryData[ItemID],0)),0)</f>
        <v>189.95</v>
      </c>
      <c r="I3" s="2">
        <f t="shared" si="0"/>
        <v>2849.25</v>
      </c>
      <c r="J3" t="str">
        <f t="shared" si="1"/>
        <v>Jun-2026</v>
      </c>
    </row>
    <row r="4" spans="1:10" x14ac:dyDescent="0.3">
      <c r="A4">
        <v>6003</v>
      </c>
      <c r="B4" s="3">
        <v>46118</v>
      </c>
      <c r="C4">
        <v>4011</v>
      </c>
      <c r="D4" t="str">
        <f>IFERROR(INDEX(InventoryData[ItemName],MATCH(C4,InventoryData[ItemID],0)),"Not found")</f>
        <v>Webcam v1</v>
      </c>
      <c r="E4" t="str">
        <f>IFERROR(INDEX(InventoryData[Category],MATCH(C4,InventoryData[ItemID],0)),"")</f>
        <v>Electronics</v>
      </c>
      <c r="F4" t="str">
        <f>IFERROR(INDEX(InventoryData[Supplier],MATCH(C4,InventoryData[ItemID],0)),"")</f>
        <v>Dublin Tech Distributors</v>
      </c>
      <c r="G4">
        <v>18</v>
      </c>
      <c r="H4" s="2">
        <f>IFERROR(INDEX(InventoryData[UnitCost],MATCH(C4,InventoryData[ItemID],0)),0)</f>
        <v>187.31</v>
      </c>
      <c r="I4" s="2">
        <f t="shared" si="0"/>
        <v>3371.58</v>
      </c>
      <c r="J4" t="str">
        <f t="shared" si="1"/>
        <v>Apr-2026</v>
      </c>
    </row>
    <row r="5" spans="1:10" x14ac:dyDescent="0.3">
      <c r="A5">
        <v>6004</v>
      </c>
      <c r="B5" s="3">
        <v>46270</v>
      </c>
      <c r="C5">
        <v>4038</v>
      </c>
      <c r="D5" t="str">
        <f>IFERROR(INDEX(InventoryData[ItemName],MATCH(C5,InventoryData[ItemID],0)),"Not found")</f>
        <v>Design Tool License v2</v>
      </c>
      <c r="E5" t="str">
        <f>IFERROR(INDEX(InventoryData[Category],MATCH(C5,InventoryData[ItemID],0)),"")</f>
        <v>Software</v>
      </c>
      <c r="F5" t="str">
        <f>IFERROR(INDEX(InventoryData[Supplier],MATCH(C5,InventoryData[ItemID],0)),"")</f>
        <v>CloudSoft Licensing</v>
      </c>
      <c r="G5">
        <v>39</v>
      </c>
      <c r="H5" s="2">
        <f>IFERROR(INDEX(InventoryData[UnitCost],MATCH(C5,InventoryData[ItemID],0)),0)</f>
        <v>397.25</v>
      </c>
      <c r="I5" s="2">
        <f t="shared" si="0"/>
        <v>15492.75</v>
      </c>
      <c r="J5" t="str">
        <f t="shared" si="1"/>
        <v>Sept-2026</v>
      </c>
    </row>
    <row r="6" spans="1:10" x14ac:dyDescent="0.3">
      <c r="A6">
        <v>6005</v>
      </c>
      <c r="B6" s="3">
        <v>46117</v>
      </c>
      <c r="C6">
        <v>4040</v>
      </c>
      <c r="D6" t="str">
        <f>IFERROR(INDEX(InventoryData[ItemName],MATCH(C6,InventoryData[ItemID],0)),"Not found")</f>
        <v>Shipping Box (Small) v1</v>
      </c>
      <c r="E6" t="str">
        <f>IFERROR(INDEX(InventoryData[Category],MATCH(C6,InventoryData[ItemID],0)),"")</f>
        <v>Packaging</v>
      </c>
      <c r="F6" t="str">
        <f>IFERROR(INDEX(InventoryData[Supplier],MATCH(C6,InventoryData[ItemID],0)),"")</f>
        <v>Shannon Packaging Ltd</v>
      </c>
      <c r="G6">
        <v>48</v>
      </c>
      <c r="H6" s="2">
        <f>IFERROR(INDEX(InventoryData[UnitCost],MATCH(C6,InventoryData[ItemID],0)),0)</f>
        <v>66.25</v>
      </c>
      <c r="I6" s="2">
        <f t="shared" si="0"/>
        <v>3180</v>
      </c>
      <c r="J6" t="str">
        <f t="shared" si="1"/>
        <v>Apr-2026</v>
      </c>
    </row>
    <row r="7" spans="1:10" x14ac:dyDescent="0.3">
      <c r="A7">
        <v>6006</v>
      </c>
      <c r="B7" s="3">
        <v>46195</v>
      </c>
      <c r="C7">
        <v>4023</v>
      </c>
      <c r="D7" t="str">
        <f>IFERROR(INDEX(InventoryData[ItemName],MATCH(C7,InventoryData[ItemID],0)),"Not found")</f>
        <v>Pen Pack v2</v>
      </c>
      <c r="E7" t="str">
        <f>IFERROR(INDEX(InventoryData[Category],MATCH(C7,InventoryData[ItemID],0)),"")</f>
        <v>Office Supplies</v>
      </c>
      <c r="F7" t="str">
        <f>IFERROR(INDEX(InventoryData[Supplier],MATCH(C7,InventoryData[ItemID],0)),"")</f>
        <v>Leinster Office Supplies</v>
      </c>
      <c r="G7">
        <v>19</v>
      </c>
      <c r="H7" s="2">
        <f>IFERROR(INDEX(InventoryData[UnitCost],MATCH(C7,InventoryData[ItemID],0)),0)</f>
        <v>116.4</v>
      </c>
      <c r="I7" s="2">
        <f t="shared" si="0"/>
        <v>2211.6</v>
      </c>
      <c r="J7" t="str">
        <f t="shared" si="1"/>
        <v>Jun-2026</v>
      </c>
    </row>
    <row r="8" spans="1:10" x14ac:dyDescent="0.3">
      <c r="A8">
        <v>6007</v>
      </c>
      <c r="B8" s="3">
        <v>46160</v>
      </c>
      <c r="C8">
        <v>4009</v>
      </c>
      <c r="D8" t="str">
        <f>IFERROR(INDEX(InventoryData[ItemName],MATCH(C8,InventoryData[ItemID],0)),"Not found")</f>
        <v>Headset v2</v>
      </c>
      <c r="E8" t="str">
        <f>IFERROR(INDEX(InventoryData[Category],MATCH(C8,InventoryData[ItemID],0)),"")</f>
        <v>Electronics</v>
      </c>
      <c r="F8" t="str">
        <f>IFERROR(INDEX(InventoryData[Supplier],MATCH(C8,InventoryData[ItemID],0)),"")</f>
        <v>Dublin Tech Distributors</v>
      </c>
      <c r="G8">
        <v>11</v>
      </c>
      <c r="H8" s="2">
        <f>IFERROR(INDEX(InventoryData[UnitCost],MATCH(C8,InventoryData[ItemID],0)),0)</f>
        <v>76.77</v>
      </c>
      <c r="I8" s="2">
        <f t="shared" si="0"/>
        <v>844.46999999999991</v>
      </c>
      <c r="J8" t="str">
        <f t="shared" si="1"/>
        <v>May-2026</v>
      </c>
    </row>
    <row r="9" spans="1:10" x14ac:dyDescent="0.3">
      <c r="A9">
        <v>6008</v>
      </c>
      <c r="B9" s="3">
        <v>46291</v>
      </c>
      <c r="C9">
        <v>4047</v>
      </c>
      <c r="D9" t="str">
        <f>IFERROR(INDEX(InventoryData[ItemName],MATCH(C9,InventoryData[ItemID],0)),"Not found")</f>
        <v>Packing Tape v1</v>
      </c>
      <c r="E9" t="str">
        <f>IFERROR(INDEX(InventoryData[Category],MATCH(C9,InventoryData[ItemID],0)),"")</f>
        <v>Packaging</v>
      </c>
      <c r="F9" t="str">
        <f>IFERROR(INDEX(InventoryData[Supplier],MATCH(C9,InventoryData[ItemID],0)),"")</f>
        <v>Shannon Packaging Ltd</v>
      </c>
      <c r="G9">
        <v>51</v>
      </c>
      <c r="H9" s="2">
        <f>IFERROR(INDEX(InventoryData[UnitCost],MATCH(C9,InventoryData[ItemID],0)),0)</f>
        <v>143.51</v>
      </c>
      <c r="I9" s="2">
        <f t="shared" si="0"/>
        <v>7319.0099999999993</v>
      </c>
      <c r="J9" t="str">
        <f t="shared" si="1"/>
        <v>Sept-2026</v>
      </c>
    </row>
    <row r="10" spans="1:10" x14ac:dyDescent="0.3">
      <c r="A10">
        <v>6009</v>
      </c>
      <c r="B10" s="3">
        <v>46282</v>
      </c>
      <c r="C10">
        <v>4048</v>
      </c>
      <c r="D10" t="str">
        <f>IFERROR(INDEX(InventoryData[ItemName],MATCH(C10,InventoryData[ItemID],0)),"Not found")</f>
        <v>Packing Tape v2</v>
      </c>
      <c r="E10" t="str">
        <f>IFERROR(INDEX(InventoryData[Category],MATCH(C10,InventoryData[ItemID],0)),"")</f>
        <v>Packaging</v>
      </c>
      <c r="F10" t="str">
        <f>IFERROR(INDEX(InventoryData[Supplier],MATCH(C10,InventoryData[ItemID],0)),"")</f>
        <v>Shannon Packaging Ltd</v>
      </c>
      <c r="G10">
        <v>18</v>
      </c>
      <c r="H10" s="2">
        <f>IFERROR(INDEX(InventoryData[UnitCost],MATCH(C10,InventoryData[ItemID],0)),0)</f>
        <v>189.95</v>
      </c>
      <c r="I10" s="2">
        <f t="shared" si="0"/>
        <v>3419.1</v>
      </c>
      <c r="J10" t="str">
        <f t="shared" si="1"/>
        <v>Sept-2026</v>
      </c>
    </row>
    <row r="11" spans="1:10" x14ac:dyDescent="0.3">
      <c r="A11">
        <v>6010</v>
      </c>
      <c r="B11" s="3">
        <v>46201</v>
      </c>
      <c r="C11">
        <v>4013</v>
      </c>
      <c r="D11" t="str">
        <f>IFERROR(INDEX(InventoryData[ItemName],MATCH(C11,InventoryData[ItemID],0)),"Not found")</f>
        <v>USB Hub v1</v>
      </c>
      <c r="E11" t="str">
        <f>IFERROR(INDEX(InventoryData[Category],MATCH(C11,InventoryData[ItemID],0)),"")</f>
        <v>Electronics</v>
      </c>
      <c r="F11" t="str">
        <f>IFERROR(INDEX(InventoryData[Supplier],MATCH(C11,InventoryData[ItemID],0)),"")</f>
        <v>Dublin Tech Distributors</v>
      </c>
      <c r="G11">
        <v>23</v>
      </c>
      <c r="H11" s="2">
        <f>IFERROR(INDEX(InventoryData[UnitCost],MATCH(C11,InventoryData[ItemID],0)),0)</f>
        <v>211.03</v>
      </c>
      <c r="I11" s="2">
        <f t="shared" si="0"/>
        <v>4853.6899999999996</v>
      </c>
      <c r="J11" t="str">
        <f t="shared" si="1"/>
        <v>Jun-2026</v>
      </c>
    </row>
    <row r="12" spans="1:10" x14ac:dyDescent="0.3">
      <c r="A12">
        <v>6011</v>
      </c>
      <c r="B12" s="3">
        <v>46274</v>
      </c>
      <c r="C12">
        <v>4014</v>
      </c>
      <c r="D12" t="str">
        <f>IFERROR(INDEX(InventoryData[ItemName],MATCH(C12,InventoryData[ItemID],0)),"Not found")</f>
        <v>USB Hub v2</v>
      </c>
      <c r="E12" t="str">
        <f>IFERROR(INDEX(InventoryData[Category],MATCH(C12,InventoryData[ItemID],0)),"")</f>
        <v>Electronics</v>
      </c>
      <c r="F12" t="str">
        <f>IFERROR(INDEX(InventoryData[Supplier],MATCH(C12,InventoryData[ItemID],0)),"")</f>
        <v>Dublin Tech Distributors</v>
      </c>
      <c r="G12">
        <v>28</v>
      </c>
      <c r="H12" s="2">
        <f>IFERROR(INDEX(InventoryData[UnitCost],MATCH(C12,InventoryData[ItemID],0)),0)</f>
        <v>244.37</v>
      </c>
      <c r="I12" s="2">
        <f t="shared" si="0"/>
        <v>6842.3600000000006</v>
      </c>
      <c r="J12" t="str">
        <f t="shared" si="1"/>
        <v>Sept-2026</v>
      </c>
    </row>
    <row r="13" spans="1:10" x14ac:dyDescent="0.3">
      <c r="A13">
        <v>6012</v>
      </c>
      <c r="B13" s="3">
        <v>46150</v>
      </c>
      <c r="C13">
        <v>4049</v>
      </c>
      <c r="D13" t="str">
        <f>IFERROR(INDEX(InventoryData[ItemName],MATCH(C13,InventoryData[ItemID],0)),"Not found")</f>
        <v>Disinfectant Spray v1</v>
      </c>
      <c r="E13" t="str">
        <f>IFERROR(INDEX(InventoryData[Category],MATCH(C13,InventoryData[ItemID],0)),"")</f>
        <v>Cleaning Supplies</v>
      </c>
      <c r="F13" t="str">
        <f>IFERROR(INDEX(InventoryData[Supplier],MATCH(C13,InventoryData[ItemID],0)),"")</f>
        <v>GreenClean Wholesale</v>
      </c>
      <c r="G13">
        <v>47</v>
      </c>
      <c r="H13" s="2">
        <f>IFERROR(INDEX(InventoryData[UnitCost],MATCH(C13,InventoryData[ItemID],0)),0)</f>
        <v>323.81</v>
      </c>
      <c r="I13" s="2">
        <f t="shared" si="0"/>
        <v>15219.07</v>
      </c>
      <c r="J13" t="str">
        <f t="shared" si="1"/>
        <v>May-2026</v>
      </c>
    </row>
    <row r="14" spans="1:10" x14ac:dyDescent="0.3">
      <c r="A14">
        <v>6013</v>
      </c>
      <c r="B14" s="3">
        <v>46212</v>
      </c>
      <c r="C14">
        <v>4035</v>
      </c>
      <c r="D14" t="str">
        <f>IFERROR(INDEX(InventoryData[ItemName],MATCH(C14,InventoryData[ItemID],0)),"Not found")</f>
        <v>Office Suite License v1</v>
      </c>
      <c r="E14" t="str">
        <f>IFERROR(INDEX(InventoryData[Category],MATCH(C14,InventoryData[ItemID],0)),"")</f>
        <v>Software</v>
      </c>
      <c r="F14" t="str">
        <f>IFERROR(INDEX(InventoryData[Supplier],MATCH(C14,InventoryData[ItemID],0)),"")</f>
        <v>CloudSoft Licensing</v>
      </c>
      <c r="G14">
        <v>36</v>
      </c>
      <c r="H14" s="2">
        <f>IFERROR(INDEX(InventoryData[UnitCost],MATCH(C14,InventoryData[ItemID],0)),0)</f>
        <v>227.58</v>
      </c>
      <c r="I14" s="2">
        <f t="shared" si="0"/>
        <v>8192.880000000001</v>
      </c>
      <c r="J14" t="str">
        <f t="shared" si="1"/>
        <v>Jul-2026</v>
      </c>
    </row>
    <row r="15" spans="1:10" x14ac:dyDescent="0.3">
      <c r="A15">
        <v>6014</v>
      </c>
      <c r="B15" s="3">
        <v>46236</v>
      </c>
      <c r="C15">
        <v>4048</v>
      </c>
      <c r="D15" t="str">
        <f>IFERROR(INDEX(InventoryData[ItemName],MATCH(C15,InventoryData[ItemID],0)),"Not found")</f>
        <v>Packing Tape v2</v>
      </c>
      <c r="E15" t="str">
        <f>IFERROR(INDEX(InventoryData[Category],MATCH(C15,InventoryData[ItemID],0)),"")</f>
        <v>Packaging</v>
      </c>
      <c r="F15" t="str">
        <f>IFERROR(INDEX(InventoryData[Supplier],MATCH(C15,InventoryData[ItemID],0)),"")</f>
        <v>Shannon Packaging Ltd</v>
      </c>
      <c r="G15">
        <v>32</v>
      </c>
      <c r="H15" s="2">
        <f>IFERROR(INDEX(InventoryData[UnitCost],MATCH(C15,InventoryData[ItemID],0)),0)</f>
        <v>189.95</v>
      </c>
      <c r="I15" s="2">
        <f t="shared" si="0"/>
        <v>6078.4</v>
      </c>
      <c r="J15" t="str">
        <f t="shared" si="1"/>
        <v>Aug-2026</v>
      </c>
    </row>
    <row r="16" spans="1:10" x14ac:dyDescent="0.3">
      <c r="A16">
        <v>6015</v>
      </c>
      <c r="B16" s="3">
        <v>46195</v>
      </c>
      <c r="C16">
        <v>4038</v>
      </c>
      <c r="D16" t="str">
        <f>IFERROR(INDEX(InventoryData[ItemName],MATCH(C16,InventoryData[ItemID],0)),"Not found")</f>
        <v>Design Tool License v2</v>
      </c>
      <c r="E16" t="str">
        <f>IFERROR(INDEX(InventoryData[Category],MATCH(C16,InventoryData[ItemID],0)),"")</f>
        <v>Software</v>
      </c>
      <c r="F16" t="str">
        <f>IFERROR(INDEX(InventoryData[Supplier],MATCH(C16,InventoryData[ItemID],0)),"")</f>
        <v>CloudSoft Licensing</v>
      </c>
      <c r="G16">
        <v>43</v>
      </c>
      <c r="H16" s="2">
        <f>IFERROR(INDEX(InventoryData[UnitCost],MATCH(C16,InventoryData[ItemID],0)),0)</f>
        <v>397.25</v>
      </c>
      <c r="I16" s="2">
        <f t="shared" si="0"/>
        <v>17081.75</v>
      </c>
      <c r="J16" t="str">
        <f t="shared" si="1"/>
        <v>Jun-2026</v>
      </c>
    </row>
    <row r="17" spans="1:10" x14ac:dyDescent="0.3">
      <c r="A17">
        <v>6016</v>
      </c>
      <c r="B17" s="3">
        <v>46200</v>
      </c>
      <c r="C17">
        <v>4033</v>
      </c>
      <c r="D17" t="str">
        <f>IFERROR(INDEX(InventoryData[ItemName],MATCH(C17,InventoryData[ItemID],0)),"Not found")</f>
        <v>Bookshelf v3</v>
      </c>
      <c r="E17" t="str">
        <f>IFERROR(INDEX(InventoryData[Category],MATCH(C17,InventoryData[ItemID],0)),"")</f>
        <v>Furniture</v>
      </c>
      <c r="F17" t="str">
        <f>IFERROR(INDEX(InventoryData[Supplier],MATCH(C17,InventoryData[ItemID],0)),"")</f>
        <v>Emerald Furniture Co.</v>
      </c>
      <c r="G17">
        <v>18</v>
      </c>
      <c r="H17" s="2">
        <f>IFERROR(INDEX(InventoryData[UnitCost],MATCH(C17,InventoryData[ItemID],0)),0)</f>
        <v>43.21</v>
      </c>
      <c r="I17" s="2">
        <f t="shared" si="0"/>
        <v>777.78</v>
      </c>
      <c r="J17" t="str">
        <f t="shared" si="1"/>
        <v>Jun-2026</v>
      </c>
    </row>
    <row r="18" spans="1:10" x14ac:dyDescent="0.3">
      <c r="A18">
        <v>6017</v>
      </c>
      <c r="B18" s="3">
        <v>46147</v>
      </c>
      <c r="C18">
        <v>4034</v>
      </c>
      <c r="D18" t="str">
        <f>IFERROR(INDEX(InventoryData[ItemName],MATCH(C18,InventoryData[ItemID],0)),"Not found")</f>
        <v>Whiteboard v1</v>
      </c>
      <c r="E18" t="str">
        <f>IFERROR(INDEX(InventoryData[Category],MATCH(C18,InventoryData[ItemID],0)),"")</f>
        <v>Furniture</v>
      </c>
      <c r="F18" t="str">
        <f>IFERROR(INDEX(InventoryData[Supplier],MATCH(C18,InventoryData[ItemID],0)),"")</f>
        <v>Emerald Furniture Co.</v>
      </c>
      <c r="G18">
        <v>42</v>
      </c>
      <c r="H18" s="2">
        <f>IFERROR(INDEX(InventoryData[UnitCost],MATCH(C18,InventoryData[ItemID],0)),0)</f>
        <v>177.37</v>
      </c>
      <c r="I18" s="2">
        <f t="shared" si="0"/>
        <v>7449.54</v>
      </c>
      <c r="J18" t="str">
        <f t="shared" si="1"/>
        <v>May-2026</v>
      </c>
    </row>
    <row r="19" spans="1:10" x14ac:dyDescent="0.3">
      <c r="A19">
        <v>6018</v>
      </c>
      <c r="B19" s="3">
        <v>46293</v>
      </c>
      <c r="C19">
        <v>4029</v>
      </c>
      <c r="D19" t="str">
        <f>IFERROR(INDEX(InventoryData[ItemName],MATCH(C19,InventoryData[ItemID],0)),"Not found")</f>
        <v>Ergonomic Chair v1</v>
      </c>
      <c r="E19" t="str">
        <f>IFERROR(INDEX(InventoryData[Category],MATCH(C19,InventoryData[ItemID],0)),"")</f>
        <v>Furniture</v>
      </c>
      <c r="F19" t="str">
        <f>IFERROR(INDEX(InventoryData[Supplier],MATCH(C19,InventoryData[ItemID],0)),"")</f>
        <v>Emerald Furniture Co.</v>
      </c>
      <c r="G19">
        <v>59</v>
      </c>
      <c r="H19" s="2">
        <f>IFERROR(INDEX(InventoryData[UnitCost],MATCH(C19,InventoryData[ItemID],0)),0)</f>
        <v>168.74</v>
      </c>
      <c r="I19" s="2">
        <f t="shared" si="0"/>
        <v>9955.66</v>
      </c>
      <c r="J19" t="str">
        <f t="shared" si="1"/>
        <v>Sept-2026</v>
      </c>
    </row>
    <row r="20" spans="1:10" x14ac:dyDescent="0.3">
      <c r="A20">
        <v>6019</v>
      </c>
      <c r="B20" s="3">
        <v>46254</v>
      </c>
      <c r="C20">
        <v>4001</v>
      </c>
      <c r="D20" t="str">
        <f>IFERROR(INDEX(InventoryData[ItemName],MATCH(C20,InventoryData[ItemID],0)),"Not found")</f>
        <v>Laptop v1</v>
      </c>
      <c r="E20" t="str">
        <f>IFERROR(INDEX(InventoryData[Category],MATCH(C20,InventoryData[ItemID],0)),"")</f>
        <v>Electronics</v>
      </c>
      <c r="F20" t="str">
        <f>IFERROR(INDEX(InventoryData[Supplier],MATCH(C20,InventoryData[ItemID],0)),"")</f>
        <v>Dublin Tech Distributors</v>
      </c>
      <c r="G20">
        <v>59</v>
      </c>
      <c r="H20" s="2">
        <f>IFERROR(INDEX(InventoryData[UnitCost],MATCH(C20,InventoryData[ItemID],0)),0)</f>
        <v>379.25</v>
      </c>
      <c r="I20" s="2">
        <f t="shared" si="0"/>
        <v>22375.75</v>
      </c>
      <c r="J20" t="str">
        <f t="shared" si="1"/>
        <v>Aug-2026</v>
      </c>
    </row>
    <row r="21" spans="1:10" x14ac:dyDescent="0.3">
      <c r="A21">
        <v>6020</v>
      </c>
      <c r="B21" s="3">
        <v>46240</v>
      </c>
      <c r="C21">
        <v>4010</v>
      </c>
      <c r="D21" t="str">
        <f>IFERROR(INDEX(InventoryData[ItemName],MATCH(C21,InventoryData[ItemID],0)),"Not found")</f>
        <v>Headset v3</v>
      </c>
      <c r="E21" t="str">
        <f>IFERROR(INDEX(InventoryData[Category],MATCH(C21,InventoryData[ItemID],0)),"")</f>
        <v>Electronics</v>
      </c>
      <c r="F21" t="str">
        <f>IFERROR(INDEX(InventoryData[Supplier],MATCH(C21,InventoryData[ItemID],0)),"")</f>
        <v>Dublin Tech Distributors</v>
      </c>
      <c r="G21">
        <v>40</v>
      </c>
      <c r="H21" s="2">
        <f>IFERROR(INDEX(InventoryData[UnitCost],MATCH(C21,InventoryData[ItemID],0)),0)</f>
        <v>25.72</v>
      </c>
      <c r="I21" s="2">
        <f t="shared" si="0"/>
        <v>1028.8</v>
      </c>
      <c r="J21" t="str">
        <f t="shared" si="1"/>
        <v>Aug-2026</v>
      </c>
    </row>
    <row r="22" spans="1:10" x14ac:dyDescent="0.3">
      <c r="A22">
        <v>6021</v>
      </c>
      <c r="B22" s="3">
        <v>46166</v>
      </c>
      <c r="C22">
        <v>4008</v>
      </c>
      <c r="D22" t="str">
        <f>IFERROR(INDEX(InventoryData[ItemName],MATCH(C22,InventoryData[ItemID],0)),"Not found")</f>
        <v>Headset v1</v>
      </c>
      <c r="E22" t="str">
        <f>IFERROR(INDEX(InventoryData[Category],MATCH(C22,InventoryData[ItemID],0)),"")</f>
        <v>Electronics</v>
      </c>
      <c r="F22" t="str">
        <f>IFERROR(INDEX(InventoryData[Supplier],MATCH(C22,InventoryData[ItemID],0)),"")</f>
        <v>Dublin Tech Distributors</v>
      </c>
      <c r="G22">
        <v>45</v>
      </c>
      <c r="H22" s="2">
        <f>IFERROR(INDEX(InventoryData[UnitCost],MATCH(C22,InventoryData[ItemID],0)),0)</f>
        <v>326.82</v>
      </c>
      <c r="I22" s="2">
        <f t="shared" si="0"/>
        <v>14706.9</v>
      </c>
      <c r="J22" t="str">
        <f t="shared" si="1"/>
        <v>May-2026</v>
      </c>
    </row>
    <row r="23" spans="1:10" x14ac:dyDescent="0.3">
      <c r="A23">
        <v>6022</v>
      </c>
      <c r="B23" s="3">
        <v>46276</v>
      </c>
      <c r="C23">
        <v>4044</v>
      </c>
      <c r="D23" t="str">
        <f>IFERROR(INDEX(InventoryData[ItemName],MATCH(C23,InventoryData[ItemID],0)),"Not found")</f>
        <v>Shipping Box (Large) v2</v>
      </c>
      <c r="E23" t="str">
        <f>IFERROR(INDEX(InventoryData[Category],MATCH(C23,InventoryData[ItemID],0)),"")</f>
        <v>Packaging</v>
      </c>
      <c r="F23" t="str">
        <f>IFERROR(INDEX(InventoryData[Supplier],MATCH(C23,InventoryData[ItemID],0)),"")</f>
        <v>Shannon Packaging Ltd</v>
      </c>
      <c r="G23">
        <v>43</v>
      </c>
      <c r="H23" s="2">
        <f>IFERROR(INDEX(InventoryData[UnitCost],MATCH(C23,InventoryData[ItemID],0)),0)</f>
        <v>217.54</v>
      </c>
      <c r="I23" s="2">
        <f t="shared" si="0"/>
        <v>9354.2199999999993</v>
      </c>
      <c r="J23" t="str">
        <f t="shared" si="1"/>
        <v>Sept-2026</v>
      </c>
    </row>
    <row r="24" spans="1:10" x14ac:dyDescent="0.3">
      <c r="A24">
        <v>6023</v>
      </c>
      <c r="B24" s="3">
        <v>46160</v>
      </c>
      <c r="C24">
        <v>4031</v>
      </c>
      <c r="D24" t="str">
        <f>IFERROR(INDEX(InventoryData[ItemName],MATCH(C24,InventoryData[ItemID],0)),"Not found")</f>
        <v>Bookshelf v1</v>
      </c>
      <c r="E24" t="str">
        <f>IFERROR(INDEX(InventoryData[Category],MATCH(C24,InventoryData[ItemID],0)),"")</f>
        <v>Furniture</v>
      </c>
      <c r="F24" t="str">
        <f>IFERROR(INDEX(InventoryData[Supplier],MATCH(C24,InventoryData[ItemID],0)),"")</f>
        <v>Emerald Furniture Co.</v>
      </c>
      <c r="G24">
        <v>60</v>
      </c>
      <c r="H24" s="2">
        <f>IFERROR(INDEX(InventoryData[UnitCost],MATCH(C24,InventoryData[ItemID],0)),0)</f>
        <v>23.49</v>
      </c>
      <c r="I24" s="2">
        <f t="shared" si="0"/>
        <v>1409.3999999999999</v>
      </c>
      <c r="J24" t="str">
        <f t="shared" si="1"/>
        <v>May-2026</v>
      </c>
    </row>
    <row r="25" spans="1:10" x14ac:dyDescent="0.3">
      <c r="A25">
        <v>6024</v>
      </c>
      <c r="B25" s="3">
        <v>46283</v>
      </c>
      <c r="C25">
        <v>4004</v>
      </c>
      <c r="D25" t="str">
        <f>IFERROR(INDEX(InventoryData[ItemName],MATCH(C25,InventoryData[ItemID],0)),"Not found")</f>
        <v>Docking Station v1</v>
      </c>
      <c r="E25" t="str">
        <f>IFERROR(INDEX(InventoryData[Category],MATCH(C25,InventoryData[ItemID],0)),"")</f>
        <v>Electronics</v>
      </c>
      <c r="F25" t="str">
        <f>IFERROR(INDEX(InventoryData[Supplier],MATCH(C25,InventoryData[ItemID],0)),"")</f>
        <v>Dublin Tech Distributors</v>
      </c>
      <c r="G25">
        <v>25</v>
      </c>
      <c r="H25" s="2">
        <f>IFERROR(INDEX(InventoryData[UnitCost],MATCH(C25,InventoryData[ItemID],0)),0)</f>
        <v>170.96</v>
      </c>
      <c r="I25" s="2">
        <f t="shared" si="0"/>
        <v>4274</v>
      </c>
      <c r="J25" t="str">
        <f t="shared" si="1"/>
        <v>Sept-2026</v>
      </c>
    </row>
    <row r="26" spans="1:10" x14ac:dyDescent="0.3">
      <c r="A26">
        <v>6025</v>
      </c>
      <c r="B26" s="3">
        <v>46243</v>
      </c>
      <c r="C26">
        <v>4003</v>
      </c>
      <c r="D26" t="str">
        <f>IFERROR(INDEX(InventoryData[ItemName],MATCH(C26,InventoryData[ItemID],0)),"Not found")</f>
        <v>Monitor v1</v>
      </c>
      <c r="E26" t="str">
        <f>IFERROR(INDEX(InventoryData[Category],MATCH(C26,InventoryData[ItemID],0)),"")</f>
        <v>Electronics</v>
      </c>
      <c r="F26" t="str">
        <f>IFERROR(INDEX(InventoryData[Supplier],MATCH(C26,InventoryData[ItemID],0)),"")</f>
        <v>Dublin Tech Distributors</v>
      </c>
      <c r="G26">
        <v>59</v>
      </c>
      <c r="H26" s="2">
        <f>IFERROR(INDEX(InventoryData[UnitCost],MATCH(C26,InventoryData[ItemID],0)),0)</f>
        <v>16.920000000000002</v>
      </c>
      <c r="I26" s="2">
        <f t="shared" si="0"/>
        <v>998.28000000000009</v>
      </c>
      <c r="J26" t="str">
        <f t="shared" si="1"/>
        <v>Aug-2026</v>
      </c>
    </row>
    <row r="27" spans="1:10" x14ac:dyDescent="0.3">
      <c r="A27">
        <v>6026</v>
      </c>
      <c r="B27" s="3">
        <v>46282</v>
      </c>
      <c r="C27">
        <v>4029</v>
      </c>
      <c r="D27" t="str">
        <f>IFERROR(INDEX(InventoryData[ItemName],MATCH(C27,InventoryData[ItemID],0)),"Not found")</f>
        <v>Ergonomic Chair v1</v>
      </c>
      <c r="E27" t="str">
        <f>IFERROR(INDEX(InventoryData[Category],MATCH(C27,InventoryData[ItemID],0)),"")</f>
        <v>Furniture</v>
      </c>
      <c r="F27" t="str">
        <f>IFERROR(INDEX(InventoryData[Supplier],MATCH(C27,InventoryData[ItemID],0)),"")</f>
        <v>Emerald Furniture Co.</v>
      </c>
      <c r="G27">
        <v>45</v>
      </c>
      <c r="H27" s="2">
        <f>IFERROR(INDEX(InventoryData[UnitCost],MATCH(C27,InventoryData[ItemID],0)),0)</f>
        <v>168.74</v>
      </c>
      <c r="I27" s="2">
        <f t="shared" si="0"/>
        <v>7593.3</v>
      </c>
      <c r="J27" t="str">
        <f t="shared" si="1"/>
        <v>Sept-2026</v>
      </c>
    </row>
    <row r="28" spans="1:10" x14ac:dyDescent="0.3">
      <c r="A28">
        <v>6027</v>
      </c>
      <c r="B28" s="3">
        <v>46290</v>
      </c>
      <c r="C28">
        <v>4005</v>
      </c>
      <c r="D28" t="str">
        <f>IFERROR(INDEX(InventoryData[ItemName],MATCH(C28,InventoryData[ItemID],0)),"Not found")</f>
        <v>Docking Station v2</v>
      </c>
      <c r="E28" t="str">
        <f>IFERROR(INDEX(InventoryData[Category],MATCH(C28,InventoryData[ItemID],0)),"")</f>
        <v>Electronics</v>
      </c>
      <c r="F28" t="str">
        <f>IFERROR(INDEX(InventoryData[Supplier],MATCH(C28,InventoryData[ItemID],0)),"")</f>
        <v>Dublin Tech Distributors</v>
      </c>
      <c r="G28">
        <v>38</v>
      </c>
      <c r="H28" s="2">
        <f>IFERROR(INDEX(InventoryData[UnitCost],MATCH(C28,InventoryData[ItemID],0)),0)</f>
        <v>252.99</v>
      </c>
      <c r="I28" s="2">
        <f t="shared" si="0"/>
        <v>9613.6200000000008</v>
      </c>
      <c r="J28" t="str">
        <f t="shared" si="1"/>
        <v>Sept-2026</v>
      </c>
    </row>
    <row r="29" spans="1:10" x14ac:dyDescent="0.3">
      <c r="A29">
        <v>6028</v>
      </c>
      <c r="B29" s="3">
        <v>46223</v>
      </c>
      <c r="C29">
        <v>4033</v>
      </c>
      <c r="D29" t="str">
        <f>IFERROR(INDEX(InventoryData[ItemName],MATCH(C29,InventoryData[ItemID],0)),"Not found")</f>
        <v>Bookshelf v3</v>
      </c>
      <c r="E29" t="str">
        <f>IFERROR(INDEX(InventoryData[Category],MATCH(C29,InventoryData[ItemID],0)),"")</f>
        <v>Furniture</v>
      </c>
      <c r="F29" t="str">
        <f>IFERROR(INDEX(InventoryData[Supplier],MATCH(C29,InventoryData[ItemID],0)),"")</f>
        <v>Emerald Furniture Co.</v>
      </c>
      <c r="G29">
        <v>48</v>
      </c>
      <c r="H29" s="2">
        <f>IFERROR(INDEX(InventoryData[UnitCost],MATCH(C29,InventoryData[ItemID],0)),0)</f>
        <v>43.21</v>
      </c>
      <c r="I29" s="2">
        <f t="shared" si="0"/>
        <v>2074.08</v>
      </c>
      <c r="J29" t="str">
        <f t="shared" si="1"/>
        <v>Jul-2026</v>
      </c>
    </row>
    <row r="30" spans="1:10" x14ac:dyDescent="0.3">
      <c r="A30">
        <v>6029</v>
      </c>
      <c r="B30" s="3">
        <v>46149</v>
      </c>
      <c r="C30">
        <v>4045</v>
      </c>
      <c r="D30" t="str">
        <f>IFERROR(INDEX(InventoryData[ItemName],MATCH(C30,InventoryData[ItemID],0)),"Not found")</f>
        <v>Shipping Box (Large) v3</v>
      </c>
      <c r="E30" t="str">
        <f>IFERROR(INDEX(InventoryData[Category],MATCH(C30,InventoryData[ItemID],0)),"")</f>
        <v>Packaging</v>
      </c>
      <c r="F30" t="str">
        <f>IFERROR(INDEX(InventoryData[Supplier],MATCH(C30,InventoryData[ItemID],0)),"")</f>
        <v>Shannon Packaging Ltd</v>
      </c>
      <c r="G30">
        <v>27</v>
      </c>
      <c r="H30" s="2">
        <f>IFERROR(INDEX(InventoryData[UnitCost],MATCH(C30,InventoryData[ItemID],0)),0)</f>
        <v>324.98</v>
      </c>
      <c r="I30" s="2">
        <f t="shared" si="0"/>
        <v>8774.4600000000009</v>
      </c>
      <c r="J30" t="str">
        <f t="shared" si="1"/>
        <v>May-2026</v>
      </c>
    </row>
    <row r="31" spans="1:10" x14ac:dyDescent="0.3">
      <c r="A31">
        <v>6030</v>
      </c>
      <c r="B31" s="3">
        <v>46190</v>
      </c>
      <c r="C31">
        <v>4035</v>
      </c>
      <c r="D31" t="str">
        <f>IFERROR(INDEX(InventoryData[ItemName],MATCH(C31,InventoryData[ItemID],0)),"Not found")</f>
        <v>Office Suite License v1</v>
      </c>
      <c r="E31" t="str">
        <f>IFERROR(INDEX(InventoryData[Category],MATCH(C31,InventoryData[ItemID],0)),"")</f>
        <v>Software</v>
      </c>
      <c r="F31" t="str">
        <f>IFERROR(INDEX(InventoryData[Supplier],MATCH(C31,InventoryData[ItemID],0)),"")</f>
        <v>CloudSoft Licensing</v>
      </c>
      <c r="G31">
        <v>40</v>
      </c>
      <c r="H31" s="2">
        <f>IFERROR(INDEX(InventoryData[UnitCost],MATCH(C31,InventoryData[ItemID],0)),0)</f>
        <v>227.58</v>
      </c>
      <c r="I31" s="2">
        <f t="shared" si="0"/>
        <v>9103.2000000000007</v>
      </c>
      <c r="J31" t="str">
        <f t="shared" si="1"/>
        <v>Jun-2026</v>
      </c>
    </row>
    <row r="32" spans="1:10" x14ac:dyDescent="0.3">
      <c r="A32">
        <v>6031</v>
      </c>
      <c r="B32" s="3">
        <v>46150</v>
      </c>
      <c r="C32">
        <v>4045</v>
      </c>
      <c r="D32" t="str">
        <f>IFERROR(INDEX(InventoryData[ItemName],MATCH(C32,InventoryData[ItemID],0)),"Not found")</f>
        <v>Shipping Box (Large) v3</v>
      </c>
      <c r="E32" t="str">
        <f>IFERROR(INDEX(InventoryData[Category],MATCH(C32,InventoryData[ItemID],0)),"")</f>
        <v>Packaging</v>
      </c>
      <c r="F32" t="str">
        <f>IFERROR(INDEX(InventoryData[Supplier],MATCH(C32,InventoryData[ItemID],0)),"")</f>
        <v>Shannon Packaging Ltd</v>
      </c>
      <c r="G32">
        <v>43</v>
      </c>
      <c r="H32" s="2">
        <f>IFERROR(INDEX(InventoryData[UnitCost],MATCH(C32,InventoryData[ItemID],0)),0)</f>
        <v>324.98</v>
      </c>
      <c r="I32" s="2">
        <f t="shared" si="0"/>
        <v>13974.140000000001</v>
      </c>
      <c r="J32" t="str">
        <f t="shared" si="1"/>
        <v>May-2026</v>
      </c>
    </row>
    <row r="33" spans="1:10" x14ac:dyDescent="0.3">
      <c r="A33">
        <v>6032</v>
      </c>
      <c r="B33" s="3">
        <v>46221</v>
      </c>
      <c r="C33">
        <v>4013</v>
      </c>
      <c r="D33" t="str">
        <f>IFERROR(INDEX(InventoryData[ItemName],MATCH(C33,InventoryData[ItemID],0)),"Not found")</f>
        <v>USB Hub v1</v>
      </c>
      <c r="E33" t="str">
        <f>IFERROR(INDEX(InventoryData[Category],MATCH(C33,InventoryData[ItemID],0)),"")</f>
        <v>Electronics</v>
      </c>
      <c r="F33" t="str">
        <f>IFERROR(INDEX(InventoryData[Supplier],MATCH(C33,InventoryData[ItemID],0)),"")</f>
        <v>Dublin Tech Distributors</v>
      </c>
      <c r="G33">
        <v>38</v>
      </c>
      <c r="H33" s="2">
        <f>IFERROR(INDEX(InventoryData[UnitCost],MATCH(C33,InventoryData[ItemID],0)),0)</f>
        <v>211.03</v>
      </c>
      <c r="I33" s="2">
        <f t="shared" si="0"/>
        <v>8019.14</v>
      </c>
      <c r="J33" t="str">
        <f t="shared" si="1"/>
        <v>Jul-2026</v>
      </c>
    </row>
    <row r="34" spans="1:10" x14ac:dyDescent="0.3">
      <c r="A34">
        <v>6033</v>
      </c>
      <c r="B34" s="3">
        <v>46248</v>
      </c>
      <c r="C34">
        <v>4008</v>
      </c>
      <c r="D34" t="str">
        <f>IFERROR(INDEX(InventoryData[ItemName],MATCH(C34,InventoryData[ItemID],0)),"Not found")</f>
        <v>Headset v1</v>
      </c>
      <c r="E34" t="str">
        <f>IFERROR(INDEX(InventoryData[Category],MATCH(C34,InventoryData[ItemID],0)),"")</f>
        <v>Electronics</v>
      </c>
      <c r="F34" t="str">
        <f>IFERROR(INDEX(InventoryData[Supplier],MATCH(C34,InventoryData[ItemID],0)),"")</f>
        <v>Dublin Tech Distributors</v>
      </c>
      <c r="G34">
        <v>35</v>
      </c>
      <c r="H34" s="2">
        <f>IFERROR(INDEX(InventoryData[UnitCost],MATCH(C34,InventoryData[ItemID],0)),0)</f>
        <v>326.82</v>
      </c>
      <c r="I34" s="2">
        <f t="shared" ref="I34:I61" si="2">G34*H34</f>
        <v>11438.699999999999</v>
      </c>
      <c r="J34" t="str">
        <f t="shared" ref="J34:J61" si="3">TEXT(B34,"mmm-yyyy")</f>
        <v>Aug-2026</v>
      </c>
    </row>
    <row r="35" spans="1:10" x14ac:dyDescent="0.3">
      <c r="A35">
        <v>6034</v>
      </c>
      <c r="B35" s="3">
        <v>46184</v>
      </c>
      <c r="C35">
        <v>4005</v>
      </c>
      <c r="D35" t="str">
        <f>IFERROR(INDEX(InventoryData[ItemName],MATCH(C35,InventoryData[ItemID],0)),"Not found")</f>
        <v>Docking Station v2</v>
      </c>
      <c r="E35" t="str">
        <f>IFERROR(INDEX(InventoryData[Category],MATCH(C35,InventoryData[ItemID],0)),"")</f>
        <v>Electronics</v>
      </c>
      <c r="F35" t="str">
        <f>IFERROR(INDEX(InventoryData[Supplier],MATCH(C35,InventoryData[ItemID],0)),"")</f>
        <v>Dublin Tech Distributors</v>
      </c>
      <c r="G35">
        <v>52</v>
      </c>
      <c r="H35" s="2">
        <f>IFERROR(INDEX(InventoryData[UnitCost],MATCH(C35,InventoryData[ItemID],0)),0)</f>
        <v>252.99</v>
      </c>
      <c r="I35" s="2">
        <f t="shared" si="2"/>
        <v>13155.48</v>
      </c>
      <c r="J35" t="str">
        <f t="shared" si="3"/>
        <v>Jun-2026</v>
      </c>
    </row>
    <row r="36" spans="1:10" x14ac:dyDescent="0.3">
      <c r="A36">
        <v>6035</v>
      </c>
      <c r="B36" s="3">
        <v>46248</v>
      </c>
      <c r="C36">
        <v>4005</v>
      </c>
      <c r="D36" t="str">
        <f>IFERROR(INDEX(InventoryData[ItemName],MATCH(C36,InventoryData[ItemID],0)),"Not found")</f>
        <v>Docking Station v2</v>
      </c>
      <c r="E36" t="str">
        <f>IFERROR(INDEX(InventoryData[Category],MATCH(C36,InventoryData[ItemID],0)),"")</f>
        <v>Electronics</v>
      </c>
      <c r="F36" t="str">
        <f>IFERROR(INDEX(InventoryData[Supplier],MATCH(C36,InventoryData[ItemID],0)),"")</f>
        <v>Dublin Tech Distributors</v>
      </c>
      <c r="G36">
        <v>23</v>
      </c>
      <c r="H36" s="2">
        <f>IFERROR(INDEX(InventoryData[UnitCost],MATCH(C36,InventoryData[ItemID],0)),0)</f>
        <v>252.99</v>
      </c>
      <c r="I36" s="2">
        <f t="shared" si="2"/>
        <v>5818.77</v>
      </c>
      <c r="J36" t="str">
        <f t="shared" si="3"/>
        <v>Aug-2026</v>
      </c>
    </row>
    <row r="37" spans="1:10" x14ac:dyDescent="0.3">
      <c r="A37">
        <v>6036</v>
      </c>
      <c r="B37" s="3">
        <v>46122</v>
      </c>
      <c r="C37">
        <v>4051</v>
      </c>
      <c r="D37" t="str">
        <f>IFERROR(INDEX(InventoryData[ItemName],MATCH(C37,InventoryData[ItemID],0)),"Not found")</f>
        <v>Paper Towels v1</v>
      </c>
      <c r="E37" t="str">
        <f>IFERROR(INDEX(InventoryData[Category],MATCH(C37,InventoryData[ItemID],0)),"")</f>
        <v>Cleaning Supplies</v>
      </c>
      <c r="F37" t="str">
        <f>IFERROR(INDEX(InventoryData[Supplier],MATCH(C37,InventoryData[ItemID],0)),"")</f>
        <v>GreenClean Wholesale</v>
      </c>
      <c r="G37">
        <v>17</v>
      </c>
      <c r="H37" s="2">
        <f>IFERROR(INDEX(InventoryData[UnitCost],MATCH(C37,InventoryData[ItemID],0)),0)</f>
        <v>194.1</v>
      </c>
      <c r="I37" s="2">
        <f t="shared" si="2"/>
        <v>3299.7</v>
      </c>
      <c r="J37" t="str">
        <f t="shared" si="3"/>
        <v>Apr-2026</v>
      </c>
    </row>
    <row r="38" spans="1:10" x14ac:dyDescent="0.3">
      <c r="A38">
        <v>6037</v>
      </c>
      <c r="B38" s="3">
        <v>46257</v>
      </c>
      <c r="C38">
        <v>4042</v>
      </c>
      <c r="D38" t="str">
        <f>IFERROR(INDEX(InventoryData[ItemName],MATCH(C38,InventoryData[ItemID],0)),"Not found")</f>
        <v>Shipping Box (Small) v3</v>
      </c>
      <c r="E38" t="str">
        <f>IFERROR(INDEX(InventoryData[Category],MATCH(C38,InventoryData[ItemID],0)),"")</f>
        <v>Packaging</v>
      </c>
      <c r="F38" t="str">
        <f>IFERROR(INDEX(InventoryData[Supplier],MATCH(C38,InventoryData[ItemID],0)),"")</f>
        <v>Shannon Packaging Ltd</v>
      </c>
      <c r="G38">
        <v>52</v>
      </c>
      <c r="H38" s="2">
        <f>IFERROR(INDEX(InventoryData[UnitCost],MATCH(C38,InventoryData[ItemID],0)),0)</f>
        <v>391.44</v>
      </c>
      <c r="I38" s="2">
        <f t="shared" si="2"/>
        <v>20354.88</v>
      </c>
      <c r="J38" t="str">
        <f t="shared" si="3"/>
        <v>Aug-2026</v>
      </c>
    </row>
    <row r="39" spans="1:10" x14ac:dyDescent="0.3">
      <c r="A39">
        <v>6038</v>
      </c>
      <c r="B39" s="3">
        <v>46208</v>
      </c>
      <c r="C39">
        <v>4017</v>
      </c>
      <c r="D39" t="str">
        <f>IFERROR(INDEX(InventoryData[ItemName],MATCH(C39,InventoryData[ItemID],0)),"Not found")</f>
        <v>Printer Paper (Ream) v1</v>
      </c>
      <c r="E39" t="str">
        <f>IFERROR(INDEX(InventoryData[Category],MATCH(C39,InventoryData[ItemID],0)),"")</f>
        <v>Office Supplies</v>
      </c>
      <c r="F39" t="str">
        <f>IFERROR(INDEX(InventoryData[Supplier],MATCH(C39,InventoryData[ItemID],0)),"")</f>
        <v>Leinster Office Supplies</v>
      </c>
      <c r="G39">
        <v>18</v>
      </c>
      <c r="H39" s="2">
        <f>IFERROR(INDEX(InventoryData[UnitCost],MATCH(C39,InventoryData[ItemID],0)),0)</f>
        <v>137.37</v>
      </c>
      <c r="I39" s="2">
        <f t="shared" si="2"/>
        <v>2472.66</v>
      </c>
      <c r="J39" t="str">
        <f t="shared" si="3"/>
        <v>Jul-2026</v>
      </c>
    </row>
    <row r="40" spans="1:10" x14ac:dyDescent="0.3">
      <c r="A40">
        <v>6039</v>
      </c>
      <c r="B40" s="3">
        <v>46181</v>
      </c>
      <c r="C40">
        <v>4048</v>
      </c>
      <c r="D40" t="str">
        <f>IFERROR(INDEX(InventoryData[ItemName],MATCH(C40,InventoryData[ItemID],0)),"Not found")</f>
        <v>Packing Tape v2</v>
      </c>
      <c r="E40" t="str">
        <f>IFERROR(INDEX(InventoryData[Category],MATCH(C40,InventoryData[ItemID],0)),"")</f>
        <v>Packaging</v>
      </c>
      <c r="F40" t="str">
        <f>IFERROR(INDEX(InventoryData[Supplier],MATCH(C40,InventoryData[ItemID],0)),"")</f>
        <v>Shannon Packaging Ltd</v>
      </c>
      <c r="G40">
        <v>16</v>
      </c>
      <c r="H40" s="2">
        <f>IFERROR(INDEX(InventoryData[UnitCost],MATCH(C40,InventoryData[ItemID],0)),0)</f>
        <v>189.95</v>
      </c>
      <c r="I40" s="2">
        <f t="shared" si="2"/>
        <v>3039.2</v>
      </c>
      <c r="J40" t="str">
        <f t="shared" si="3"/>
        <v>Jun-2026</v>
      </c>
    </row>
    <row r="41" spans="1:10" x14ac:dyDescent="0.3">
      <c r="A41">
        <v>6040</v>
      </c>
      <c r="B41" s="3">
        <v>46189</v>
      </c>
      <c r="C41">
        <v>4011</v>
      </c>
      <c r="D41" t="str">
        <f>IFERROR(INDEX(InventoryData[ItemName],MATCH(C41,InventoryData[ItemID],0)),"Not found")</f>
        <v>Webcam v1</v>
      </c>
      <c r="E41" t="str">
        <f>IFERROR(INDEX(InventoryData[Category],MATCH(C41,InventoryData[ItemID],0)),"")</f>
        <v>Electronics</v>
      </c>
      <c r="F41" t="str">
        <f>IFERROR(INDEX(InventoryData[Supplier],MATCH(C41,InventoryData[ItemID],0)),"")</f>
        <v>Dublin Tech Distributors</v>
      </c>
      <c r="G41">
        <v>52</v>
      </c>
      <c r="H41" s="2">
        <f>IFERROR(INDEX(InventoryData[UnitCost],MATCH(C41,InventoryData[ItemID],0)),0)</f>
        <v>187.31</v>
      </c>
      <c r="I41" s="2">
        <f t="shared" si="2"/>
        <v>9740.1200000000008</v>
      </c>
      <c r="J41" t="str">
        <f t="shared" si="3"/>
        <v>Jun-2026</v>
      </c>
    </row>
    <row r="42" spans="1:10" x14ac:dyDescent="0.3">
      <c r="A42">
        <v>6041</v>
      </c>
      <c r="B42" s="3">
        <v>46240</v>
      </c>
      <c r="C42">
        <v>4046</v>
      </c>
      <c r="D42" t="str">
        <f>IFERROR(INDEX(InventoryData[ItemName],MATCH(C42,InventoryData[ItemID],0)),"Not found")</f>
        <v>Bubble Wrap Roll v1</v>
      </c>
      <c r="E42" t="str">
        <f>IFERROR(INDEX(InventoryData[Category],MATCH(C42,InventoryData[ItemID],0)),"")</f>
        <v>Packaging</v>
      </c>
      <c r="F42" t="str">
        <f>IFERROR(INDEX(InventoryData[Supplier],MATCH(C42,InventoryData[ItemID],0)),"")</f>
        <v>Shannon Packaging Ltd</v>
      </c>
      <c r="G42">
        <v>37</v>
      </c>
      <c r="H42" s="2">
        <f>IFERROR(INDEX(InventoryData[UnitCost],MATCH(C42,InventoryData[ItemID],0)),0)</f>
        <v>327.7</v>
      </c>
      <c r="I42" s="2">
        <f t="shared" si="2"/>
        <v>12124.9</v>
      </c>
      <c r="J42" t="str">
        <f t="shared" si="3"/>
        <v>Aug-2026</v>
      </c>
    </row>
    <row r="43" spans="1:10" x14ac:dyDescent="0.3">
      <c r="A43">
        <v>6042</v>
      </c>
      <c r="B43" s="3">
        <v>46155</v>
      </c>
      <c r="C43">
        <v>4022</v>
      </c>
      <c r="D43" t="str">
        <f>IFERROR(INDEX(InventoryData[ItemName],MATCH(C43,InventoryData[ItemID],0)),"Not found")</f>
        <v>Pen Pack v1</v>
      </c>
      <c r="E43" t="str">
        <f>IFERROR(INDEX(InventoryData[Category],MATCH(C43,InventoryData[ItemID],0)),"")</f>
        <v>Office Supplies</v>
      </c>
      <c r="F43" t="str">
        <f>IFERROR(INDEX(InventoryData[Supplier],MATCH(C43,InventoryData[ItemID],0)),"")</f>
        <v>Leinster Office Supplies</v>
      </c>
      <c r="G43">
        <v>36</v>
      </c>
      <c r="H43" s="2">
        <f>IFERROR(INDEX(InventoryData[UnitCost],MATCH(C43,InventoryData[ItemID],0)),0)</f>
        <v>68.88</v>
      </c>
      <c r="I43" s="2">
        <f t="shared" si="2"/>
        <v>2479.6799999999998</v>
      </c>
      <c r="J43" t="str">
        <f t="shared" si="3"/>
        <v>May-2026</v>
      </c>
    </row>
    <row r="44" spans="1:10" x14ac:dyDescent="0.3">
      <c r="A44">
        <v>6043</v>
      </c>
      <c r="B44" s="3">
        <v>46246</v>
      </c>
      <c r="C44">
        <v>4021</v>
      </c>
      <c r="D44" t="str">
        <f>IFERROR(INDEX(InventoryData[ItemName],MATCH(C44,InventoryData[ItemID],0)),"Not found")</f>
        <v>Stapler v3</v>
      </c>
      <c r="E44" t="str">
        <f>IFERROR(INDEX(InventoryData[Category],MATCH(C44,InventoryData[ItemID],0)),"")</f>
        <v>Office Supplies</v>
      </c>
      <c r="F44" t="str">
        <f>IFERROR(INDEX(InventoryData[Supplier],MATCH(C44,InventoryData[ItemID],0)),"")</f>
        <v>Leinster Office Supplies</v>
      </c>
      <c r="G44">
        <v>15</v>
      </c>
      <c r="H44" s="2">
        <f>IFERROR(INDEX(InventoryData[UnitCost],MATCH(C44,InventoryData[ItemID],0)),0)</f>
        <v>155.54</v>
      </c>
      <c r="I44" s="2">
        <f t="shared" si="2"/>
        <v>2333.1</v>
      </c>
      <c r="J44" t="str">
        <f t="shared" si="3"/>
        <v>Aug-2026</v>
      </c>
    </row>
    <row r="45" spans="1:10" x14ac:dyDescent="0.3">
      <c r="A45">
        <v>6044</v>
      </c>
      <c r="B45" s="3">
        <v>46124</v>
      </c>
      <c r="C45">
        <v>4002</v>
      </c>
      <c r="D45" t="str">
        <f>IFERROR(INDEX(InventoryData[ItemName],MATCH(C45,InventoryData[ItemID],0)),"Not found")</f>
        <v>Laptop v2</v>
      </c>
      <c r="E45" t="str">
        <f>IFERROR(INDEX(InventoryData[Category],MATCH(C45,InventoryData[ItemID],0)),"")</f>
        <v>Electronics</v>
      </c>
      <c r="F45" t="str">
        <f>IFERROR(INDEX(InventoryData[Supplier],MATCH(C45,InventoryData[ItemID],0)),"")</f>
        <v>Dublin Tech Distributors</v>
      </c>
      <c r="G45">
        <v>31</v>
      </c>
      <c r="H45" s="2">
        <f>IFERROR(INDEX(InventoryData[UnitCost],MATCH(C45,InventoryData[ItemID],0)),0)</f>
        <v>215.28</v>
      </c>
      <c r="I45" s="2">
        <f t="shared" si="2"/>
        <v>6673.68</v>
      </c>
      <c r="J45" t="str">
        <f t="shared" si="3"/>
        <v>Apr-2026</v>
      </c>
    </row>
    <row r="46" spans="1:10" x14ac:dyDescent="0.3">
      <c r="A46">
        <v>6045</v>
      </c>
      <c r="B46" s="3">
        <v>46157</v>
      </c>
      <c r="C46">
        <v>4029</v>
      </c>
      <c r="D46" t="str">
        <f>IFERROR(INDEX(InventoryData[ItemName],MATCH(C46,InventoryData[ItemID],0)),"Not found")</f>
        <v>Ergonomic Chair v1</v>
      </c>
      <c r="E46" t="str">
        <f>IFERROR(INDEX(InventoryData[Category],MATCH(C46,InventoryData[ItemID],0)),"")</f>
        <v>Furniture</v>
      </c>
      <c r="F46" t="str">
        <f>IFERROR(INDEX(InventoryData[Supplier],MATCH(C46,InventoryData[ItemID],0)),"")</f>
        <v>Emerald Furniture Co.</v>
      </c>
      <c r="G46">
        <v>55</v>
      </c>
      <c r="H46" s="2">
        <f>IFERROR(INDEX(InventoryData[UnitCost],MATCH(C46,InventoryData[ItemID],0)),0)</f>
        <v>168.74</v>
      </c>
      <c r="I46" s="2">
        <f t="shared" si="2"/>
        <v>9280.7000000000007</v>
      </c>
      <c r="J46" t="str">
        <f t="shared" si="3"/>
        <v>May-2026</v>
      </c>
    </row>
    <row r="47" spans="1:10" x14ac:dyDescent="0.3">
      <c r="A47">
        <v>6046</v>
      </c>
      <c r="B47" s="3">
        <v>46278</v>
      </c>
      <c r="C47">
        <v>4022</v>
      </c>
      <c r="D47" t="str">
        <f>IFERROR(INDEX(InventoryData[ItemName],MATCH(C47,InventoryData[ItemID],0)),"Not found")</f>
        <v>Pen Pack v1</v>
      </c>
      <c r="E47" t="str">
        <f>IFERROR(INDEX(InventoryData[Category],MATCH(C47,InventoryData[ItemID],0)),"")</f>
        <v>Office Supplies</v>
      </c>
      <c r="F47" t="str">
        <f>IFERROR(INDEX(InventoryData[Supplier],MATCH(C47,InventoryData[ItemID],0)),"")</f>
        <v>Leinster Office Supplies</v>
      </c>
      <c r="G47">
        <v>43</v>
      </c>
      <c r="H47" s="2">
        <f>IFERROR(INDEX(InventoryData[UnitCost],MATCH(C47,InventoryData[ItemID],0)),0)</f>
        <v>68.88</v>
      </c>
      <c r="I47" s="2">
        <f t="shared" si="2"/>
        <v>2961.8399999999997</v>
      </c>
      <c r="J47" t="str">
        <f t="shared" si="3"/>
        <v>Sept-2026</v>
      </c>
    </row>
    <row r="48" spans="1:10" x14ac:dyDescent="0.3">
      <c r="A48">
        <v>6047</v>
      </c>
      <c r="B48" s="3">
        <v>46152</v>
      </c>
      <c r="C48">
        <v>4033</v>
      </c>
      <c r="D48" t="str">
        <f>IFERROR(INDEX(InventoryData[ItemName],MATCH(C48,InventoryData[ItemID],0)),"Not found")</f>
        <v>Bookshelf v3</v>
      </c>
      <c r="E48" t="str">
        <f>IFERROR(INDEX(InventoryData[Category],MATCH(C48,InventoryData[ItemID],0)),"")</f>
        <v>Furniture</v>
      </c>
      <c r="F48" t="str">
        <f>IFERROR(INDEX(InventoryData[Supplier],MATCH(C48,InventoryData[ItemID],0)),"")</f>
        <v>Emerald Furniture Co.</v>
      </c>
      <c r="G48">
        <v>14</v>
      </c>
      <c r="H48" s="2">
        <f>IFERROR(INDEX(InventoryData[UnitCost],MATCH(C48,InventoryData[ItemID],0)),0)</f>
        <v>43.21</v>
      </c>
      <c r="I48" s="2">
        <f t="shared" si="2"/>
        <v>604.94000000000005</v>
      </c>
      <c r="J48" t="str">
        <f t="shared" si="3"/>
        <v>May-2026</v>
      </c>
    </row>
    <row r="49" spans="1:10" x14ac:dyDescent="0.3">
      <c r="A49">
        <v>6048</v>
      </c>
      <c r="B49" s="3">
        <v>46291</v>
      </c>
      <c r="C49">
        <v>4015</v>
      </c>
      <c r="D49" t="str">
        <f>IFERROR(INDEX(InventoryData[ItemName],MATCH(C49,InventoryData[ItemID],0)),"Not found")</f>
        <v>Notebook v1</v>
      </c>
      <c r="E49" t="str">
        <f>IFERROR(INDEX(InventoryData[Category],MATCH(C49,InventoryData[ItemID],0)),"")</f>
        <v>Office Supplies</v>
      </c>
      <c r="F49" t="str">
        <f>IFERROR(INDEX(InventoryData[Supplier],MATCH(C49,InventoryData[ItemID],0)),"")</f>
        <v>Leinster Office Supplies</v>
      </c>
      <c r="G49">
        <v>16</v>
      </c>
      <c r="H49" s="2">
        <f>IFERROR(INDEX(InventoryData[UnitCost],MATCH(C49,InventoryData[ItemID],0)),0)</f>
        <v>62.49</v>
      </c>
      <c r="I49" s="2">
        <f t="shared" si="2"/>
        <v>999.84</v>
      </c>
      <c r="J49" t="str">
        <f t="shared" si="3"/>
        <v>Sept-2026</v>
      </c>
    </row>
    <row r="50" spans="1:10" x14ac:dyDescent="0.3">
      <c r="A50">
        <v>6049</v>
      </c>
      <c r="B50" s="3">
        <v>46274</v>
      </c>
      <c r="C50">
        <v>4018</v>
      </c>
      <c r="D50" t="str">
        <f>IFERROR(INDEX(InventoryData[ItemName],MATCH(C50,InventoryData[ItemID],0)),"Not found")</f>
        <v>Printer Paper (Ream) v2</v>
      </c>
      <c r="E50" t="str">
        <f>IFERROR(INDEX(InventoryData[Category],MATCH(C50,InventoryData[ItemID],0)),"")</f>
        <v>Office Supplies</v>
      </c>
      <c r="F50" t="str">
        <f>IFERROR(INDEX(InventoryData[Supplier],MATCH(C50,InventoryData[ItemID],0)),"")</f>
        <v>Leinster Office Supplies</v>
      </c>
      <c r="G50">
        <v>12</v>
      </c>
      <c r="H50" s="2">
        <f>IFERROR(INDEX(InventoryData[UnitCost],MATCH(C50,InventoryData[ItemID],0)),0)</f>
        <v>183.57</v>
      </c>
      <c r="I50" s="2">
        <f t="shared" si="2"/>
        <v>2202.84</v>
      </c>
      <c r="J50" t="str">
        <f t="shared" si="3"/>
        <v>Sept-2026</v>
      </c>
    </row>
    <row r="51" spans="1:10" x14ac:dyDescent="0.3">
      <c r="A51">
        <v>6050</v>
      </c>
      <c r="B51" s="3">
        <v>46243</v>
      </c>
      <c r="C51">
        <v>4049</v>
      </c>
      <c r="D51" t="str">
        <f>IFERROR(INDEX(InventoryData[ItemName],MATCH(C51,InventoryData[ItemID],0)),"Not found")</f>
        <v>Disinfectant Spray v1</v>
      </c>
      <c r="E51" t="str">
        <f>IFERROR(INDEX(InventoryData[Category],MATCH(C51,InventoryData[ItemID],0)),"")</f>
        <v>Cleaning Supplies</v>
      </c>
      <c r="F51" t="str">
        <f>IFERROR(INDEX(InventoryData[Supplier],MATCH(C51,InventoryData[ItemID],0)),"")</f>
        <v>GreenClean Wholesale</v>
      </c>
      <c r="G51">
        <v>18</v>
      </c>
      <c r="H51" s="2">
        <f>IFERROR(INDEX(InventoryData[UnitCost],MATCH(C51,InventoryData[ItemID],0)),0)</f>
        <v>323.81</v>
      </c>
      <c r="I51" s="2">
        <f t="shared" si="2"/>
        <v>5828.58</v>
      </c>
      <c r="J51" t="str">
        <f t="shared" si="3"/>
        <v>Aug-2026</v>
      </c>
    </row>
    <row r="52" spans="1:10" x14ac:dyDescent="0.3">
      <c r="A52">
        <v>6051</v>
      </c>
      <c r="B52" s="3">
        <v>46201</v>
      </c>
      <c r="C52">
        <v>4044</v>
      </c>
      <c r="D52" t="str">
        <f>IFERROR(INDEX(InventoryData[ItemName],MATCH(C52,InventoryData[ItemID],0)),"Not found")</f>
        <v>Shipping Box (Large) v2</v>
      </c>
      <c r="E52" t="str">
        <f>IFERROR(INDEX(InventoryData[Category],MATCH(C52,InventoryData[ItemID],0)),"")</f>
        <v>Packaging</v>
      </c>
      <c r="F52" t="str">
        <f>IFERROR(INDEX(InventoryData[Supplier],MATCH(C52,InventoryData[ItemID],0)),"")</f>
        <v>Shannon Packaging Ltd</v>
      </c>
      <c r="G52">
        <v>26</v>
      </c>
      <c r="H52" s="2">
        <f>IFERROR(INDEX(InventoryData[UnitCost],MATCH(C52,InventoryData[ItemID],0)),0)</f>
        <v>217.54</v>
      </c>
      <c r="I52" s="2">
        <f t="shared" si="2"/>
        <v>5656.04</v>
      </c>
      <c r="J52" t="str">
        <f t="shared" si="3"/>
        <v>Jun-2026</v>
      </c>
    </row>
    <row r="53" spans="1:10" x14ac:dyDescent="0.3">
      <c r="A53">
        <v>6052</v>
      </c>
      <c r="B53" s="3">
        <v>46178</v>
      </c>
      <c r="C53">
        <v>4035</v>
      </c>
      <c r="D53" t="str">
        <f>IFERROR(INDEX(InventoryData[ItemName],MATCH(C53,InventoryData[ItemID],0)),"Not found")</f>
        <v>Office Suite License v1</v>
      </c>
      <c r="E53" t="str">
        <f>IFERROR(INDEX(InventoryData[Category],MATCH(C53,InventoryData[ItemID],0)),"")</f>
        <v>Software</v>
      </c>
      <c r="F53" t="str">
        <f>IFERROR(INDEX(InventoryData[Supplier],MATCH(C53,InventoryData[ItemID],0)),"")</f>
        <v>CloudSoft Licensing</v>
      </c>
      <c r="G53">
        <v>42</v>
      </c>
      <c r="H53" s="2">
        <f>IFERROR(INDEX(InventoryData[UnitCost],MATCH(C53,InventoryData[ItemID],0)),0)</f>
        <v>227.58</v>
      </c>
      <c r="I53" s="2">
        <f t="shared" si="2"/>
        <v>9558.36</v>
      </c>
      <c r="J53" t="str">
        <f t="shared" si="3"/>
        <v>Jun-2026</v>
      </c>
    </row>
    <row r="54" spans="1:10" x14ac:dyDescent="0.3">
      <c r="A54">
        <v>6053</v>
      </c>
      <c r="B54" s="3">
        <v>46158</v>
      </c>
      <c r="C54">
        <v>4045</v>
      </c>
      <c r="D54" t="str">
        <f>IFERROR(INDEX(InventoryData[ItemName],MATCH(C54,InventoryData[ItemID],0)),"Not found")</f>
        <v>Shipping Box (Large) v3</v>
      </c>
      <c r="E54" t="str">
        <f>IFERROR(INDEX(InventoryData[Category],MATCH(C54,InventoryData[ItemID],0)),"")</f>
        <v>Packaging</v>
      </c>
      <c r="F54" t="str">
        <f>IFERROR(INDEX(InventoryData[Supplier],MATCH(C54,InventoryData[ItemID],0)),"")</f>
        <v>Shannon Packaging Ltd</v>
      </c>
      <c r="G54">
        <v>30</v>
      </c>
      <c r="H54" s="2">
        <f>IFERROR(INDEX(InventoryData[UnitCost],MATCH(C54,InventoryData[ItemID],0)),0)</f>
        <v>324.98</v>
      </c>
      <c r="I54" s="2">
        <f t="shared" si="2"/>
        <v>9749.4000000000015</v>
      </c>
      <c r="J54" t="str">
        <f t="shared" si="3"/>
        <v>May-2026</v>
      </c>
    </row>
    <row r="55" spans="1:10" x14ac:dyDescent="0.3">
      <c r="A55">
        <v>6054</v>
      </c>
      <c r="B55" s="3">
        <v>46274</v>
      </c>
      <c r="C55">
        <v>4004</v>
      </c>
      <c r="D55" t="str">
        <f>IFERROR(INDEX(InventoryData[ItemName],MATCH(C55,InventoryData[ItemID],0)),"Not found")</f>
        <v>Docking Station v1</v>
      </c>
      <c r="E55" t="str">
        <f>IFERROR(INDEX(InventoryData[Category],MATCH(C55,InventoryData[ItemID],0)),"")</f>
        <v>Electronics</v>
      </c>
      <c r="F55" t="str">
        <f>IFERROR(INDEX(InventoryData[Supplier],MATCH(C55,InventoryData[ItemID],0)),"")</f>
        <v>Dublin Tech Distributors</v>
      </c>
      <c r="G55">
        <v>54</v>
      </c>
      <c r="H55" s="2">
        <f>IFERROR(INDEX(InventoryData[UnitCost],MATCH(C55,InventoryData[ItemID],0)),0)</f>
        <v>170.96</v>
      </c>
      <c r="I55" s="2">
        <f t="shared" si="2"/>
        <v>9231.84</v>
      </c>
      <c r="J55" t="str">
        <f t="shared" si="3"/>
        <v>Sept-2026</v>
      </c>
    </row>
    <row r="56" spans="1:10" x14ac:dyDescent="0.3">
      <c r="A56">
        <v>6055</v>
      </c>
      <c r="B56" s="3">
        <v>46248</v>
      </c>
      <c r="C56">
        <v>4005</v>
      </c>
      <c r="D56" t="str">
        <f>IFERROR(INDEX(InventoryData[ItemName],MATCH(C56,InventoryData[ItemID],0)),"Not found")</f>
        <v>Docking Station v2</v>
      </c>
      <c r="E56" t="str">
        <f>IFERROR(INDEX(InventoryData[Category],MATCH(C56,InventoryData[ItemID],0)),"")</f>
        <v>Electronics</v>
      </c>
      <c r="F56" t="str">
        <f>IFERROR(INDEX(InventoryData[Supplier],MATCH(C56,InventoryData[ItemID],0)),"")</f>
        <v>Dublin Tech Distributors</v>
      </c>
      <c r="G56">
        <v>27</v>
      </c>
      <c r="H56" s="2">
        <f>IFERROR(INDEX(InventoryData[UnitCost],MATCH(C56,InventoryData[ItemID],0)),0)</f>
        <v>252.99</v>
      </c>
      <c r="I56" s="2">
        <f t="shared" si="2"/>
        <v>6830.7300000000005</v>
      </c>
      <c r="J56" t="str">
        <f t="shared" si="3"/>
        <v>Aug-2026</v>
      </c>
    </row>
    <row r="57" spans="1:10" x14ac:dyDescent="0.3">
      <c r="A57">
        <v>6056</v>
      </c>
      <c r="B57" s="3">
        <v>46286</v>
      </c>
      <c r="C57">
        <v>4006</v>
      </c>
      <c r="D57" t="str">
        <f>IFERROR(INDEX(InventoryData[ItemName],MATCH(C57,InventoryData[ItemID],0)),"Not found")</f>
        <v>Docking Station v3</v>
      </c>
      <c r="E57" t="str">
        <f>IFERROR(INDEX(InventoryData[Category],MATCH(C57,InventoryData[ItemID],0)),"")</f>
        <v>Electronics</v>
      </c>
      <c r="F57" t="str">
        <f>IFERROR(INDEX(InventoryData[Supplier],MATCH(C57,InventoryData[ItemID],0)),"")</f>
        <v>Dublin Tech Distributors</v>
      </c>
      <c r="G57">
        <v>26</v>
      </c>
      <c r="H57" s="2">
        <f>IFERROR(INDEX(InventoryData[UnitCost],MATCH(C57,InventoryData[ItemID],0)),0)</f>
        <v>159.88</v>
      </c>
      <c r="I57" s="2">
        <f t="shared" si="2"/>
        <v>4156.88</v>
      </c>
      <c r="J57" t="str">
        <f t="shared" si="3"/>
        <v>Sept-2026</v>
      </c>
    </row>
    <row r="58" spans="1:10" x14ac:dyDescent="0.3">
      <c r="A58">
        <v>6057</v>
      </c>
      <c r="B58" s="3">
        <v>46285</v>
      </c>
      <c r="C58">
        <v>4015</v>
      </c>
      <c r="D58" t="str">
        <f>IFERROR(INDEX(InventoryData[ItemName],MATCH(C58,InventoryData[ItemID],0)),"Not found")</f>
        <v>Notebook v1</v>
      </c>
      <c r="E58" t="str">
        <f>IFERROR(INDEX(InventoryData[Category],MATCH(C58,InventoryData[ItemID],0)),"")</f>
        <v>Office Supplies</v>
      </c>
      <c r="F58" t="str">
        <f>IFERROR(INDEX(InventoryData[Supplier],MATCH(C58,InventoryData[ItemID],0)),"")</f>
        <v>Leinster Office Supplies</v>
      </c>
      <c r="G58">
        <v>14</v>
      </c>
      <c r="H58" s="2">
        <f>IFERROR(INDEX(InventoryData[UnitCost],MATCH(C58,InventoryData[ItemID],0)),0)</f>
        <v>62.49</v>
      </c>
      <c r="I58" s="2">
        <f t="shared" si="2"/>
        <v>874.86</v>
      </c>
      <c r="J58" t="str">
        <f t="shared" si="3"/>
        <v>Sept-2026</v>
      </c>
    </row>
    <row r="59" spans="1:10" x14ac:dyDescent="0.3">
      <c r="A59">
        <v>6058</v>
      </c>
      <c r="B59" s="3">
        <v>46231</v>
      </c>
      <c r="C59">
        <v>4008</v>
      </c>
      <c r="D59" t="str">
        <f>IFERROR(INDEX(InventoryData[ItemName],MATCH(C59,InventoryData[ItemID],0)),"Not found")</f>
        <v>Headset v1</v>
      </c>
      <c r="E59" t="str">
        <f>IFERROR(INDEX(InventoryData[Category],MATCH(C59,InventoryData[ItemID],0)),"")</f>
        <v>Electronics</v>
      </c>
      <c r="F59" t="str">
        <f>IFERROR(INDEX(InventoryData[Supplier],MATCH(C59,InventoryData[ItemID],0)),"")</f>
        <v>Dublin Tech Distributors</v>
      </c>
      <c r="G59">
        <v>39</v>
      </c>
      <c r="H59" s="2">
        <f>IFERROR(INDEX(InventoryData[UnitCost],MATCH(C59,InventoryData[ItemID],0)),0)</f>
        <v>326.82</v>
      </c>
      <c r="I59" s="2">
        <f t="shared" si="2"/>
        <v>12745.98</v>
      </c>
      <c r="J59" t="str">
        <f t="shared" si="3"/>
        <v>Jul-2026</v>
      </c>
    </row>
    <row r="60" spans="1:10" x14ac:dyDescent="0.3">
      <c r="A60">
        <v>6059</v>
      </c>
      <c r="B60" s="3">
        <v>46276</v>
      </c>
      <c r="C60">
        <v>4036</v>
      </c>
      <c r="D60" t="str">
        <f>IFERROR(INDEX(InventoryData[ItemName],MATCH(C60,InventoryData[ItemID],0)),"Not found")</f>
        <v>Antivirus License v1</v>
      </c>
      <c r="E60" t="str">
        <f>IFERROR(INDEX(InventoryData[Category],MATCH(C60,InventoryData[ItemID],0)),"")</f>
        <v>Software</v>
      </c>
      <c r="F60" t="str">
        <f>IFERROR(INDEX(InventoryData[Supplier],MATCH(C60,InventoryData[ItemID],0)),"")</f>
        <v>CloudSoft Licensing</v>
      </c>
      <c r="G60">
        <v>36</v>
      </c>
      <c r="H60" s="2">
        <f>IFERROR(INDEX(InventoryData[UnitCost],MATCH(C60,InventoryData[ItemID],0)),0)</f>
        <v>349.98</v>
      </c>
      <c r="I60" s="2">
        <f t="shared" si="2"/>
        <v>12599.28</v>
      </c>
      <c r="J60" t="str">
        <f t="shared" si="3"/>
        <v>Sept-2026</v>
      </c>
    </row>
    <row r="61" spans="1:10" x14ac:dyDescent="0.3">
      <c r="A61">
        <v>6060</v>
      </c>
      <c r="B61" s="3">
        <v>46223</v>
      </c>
      <c r="C61">
        <v>4009</v>
      </c>
      <c r="D61" t="str">
        <f>IFERROR(INDEX(InventoryData[ItemName],MATCH(C61,InventoryData[ItemID],0)),"Not found")</f>
        <v>Headset v2</v>
      </c>
      <c r="E61" t="str">
        <f>IFERROR(INDEX(InventoryData[Category],MATCH(C61,InventoryData[ItemID],0)),"")</f>
        <v>Electronics</v>
      </c>
      <c r="F61" t="str">
        <f>IFERROR(INDEX(InventoryData[Supplier],MATCH(C61,InventoryData[ItemID],0)),"")</f>
        <v>Dublin Tech Distributors</v>
      </c>
      <c r="G61">
        <v>12</v>
      </c>
      <c r="H61" s="2">
        <f>IFERROR(INDEX(InventoryData[UnitCost],MATCH(C61,InventoryData[ItemID],0)),0)</f>
        <v>76.77</v>
      </c>
      <c r="I61" s="2">
        <f t="shared" si="2"/>
        <v>921.24</v>
      </c>
      <c r="J61" t="str">
        <f t="shared" si="3"/>
        <v>Jul-2026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2"/>
  <sheetViews>
    <sheetView zoomScaleNormal="100" workbookViewId="0">
      <selection activeCell="C28" sqref="C28"/>
    </sheetView>
  </sheetViews>
  <sheetFormatPr defaultColWidth="8.6640625" defaultRowHeight="14.4" x14ac:dyDescent="0.3"/>
  <cols>
    <col min="1" max="1" width="26" customWidth="1"/>
    <col min="2" max="7" width="13" customWidth="1"/>
  </cols>
  <sheetData>
    <row r="1" spans="1:7" ht="17.399999999999999" x14ac:dyDescent="0.3">
      <c r="A1" s="4" t="s">
        <v>105</v>
      </c>
    </row>
    <row r="3" spans="1:7" x14ac:dyDescent="0.3">
      <c r="A3" s="5" t="s">
        <v>106</v>
      </c>
    </row>
    <row r="4" spans="1:7" x14ac:dyDescent="0.3">
      <c r="A4" t="s">
        <v>36</v>
      </c>
      <c r="B4" s="6">
        <v>46113</v>
      </c>
      <c r="C4" s="6">
        <v>46143</v>
      </c>
      <c r="D4" s="6">
        <v>46174</v>
      </c>
      <c r="E4" s="6">
        <v>46204</v>
      </c>
      <c r="F4" s="6">
        <v>46235</v>
      </c>
      <c r="G4" s="6">
        <v>46266</v>
      </c>
    </row>
    <row r="5" spans="1:7" x14ac:dyDescent="0.3">
      <c r="A5" t="s">
        <v>2</v>
      </c>
      <c r="B5" s="7">
        <v>5688</v>
      </c>
      <c r="C5" s="7">
        <v>3669</v>
      </c>
      <c r="D5" s="7">
        <v>2766</v>
      </c>
      <c r="E5" s="7">
        <v>3130</v>
      </c>
      <c r="F5" s="7">
        <v>2353</v>
      </c>
      <c r="G5" s="7">
        <v>3412</v>
      </c>
    </row>
    <row r="6" spans="1:7" x14ac:dyDescent="0.3">
      <c r="A6" t="s">
        <v>4</v>
      </c>
      <c r="B6" s="7">
        <v>4184</v>
      </c>
      <c r="C6" s="7">
        <v>4135</v>
      </c>
      <c r="D6" s="7">
        <v>7316</v>
      </c>
      <c r="E6" s="7">
        <v>4030</v>
      </c>
      <c r="F6" s="7">
        <v>5501</v>
      </c>
      <c r="G6" s="7">
        <v>3245</v>
      </c>
    </row>
    <row r="7" spans="1:7" x14ac:dyDescent="0.3">
      <c r="A7" t="s">
        <v>6</v>
      </c>
      <c r="B7" s="7">
        <v>4429</v>
      </c>
      <c r="C7" s="7">
        <v>2127</v>
      </c>
      <c r="D7" s="7">
        <v>3753</v>
      </c>
      <c r="E7" s="7">
        <v>2107</v>
      </c>
      <c r="F7" s="7">
        <v>7132</v>
      </c>
      <c r="G7" s="7">
        <v>5857</v>
      </c>
    </row>
    <row r="8" spans="1:7" x14ac:dyDescent="0.3">
      <c r="A8" t="s">
        <v>8</v>
      </c>
      <c r="B8" s="7">
        <v>3326</v>
      </c>
      <c r="C8" s="7">
        <v>5323</v>
      </c>
      <c r="D8" s="7">
        <v>8542</v>
      </c>
      <c r="E8" s="7">
        <v>2744</v>
      </c>
      <c r="F8" s="7">
        <v>7732</v>
      </c>
      <c r="G8" s="7">
        <v>5025</v>
      </c>
    </row>
    <row r="9" spans="1:7" x14ac:dyDescent="0.3">
      <c r="A9" t="s">
        <v>10</v>
      </c>
      <c r="B9" s="7">
        <v>5465</v>
      </c>
      <c r="C9" s="7">
        <v>7842</v>
      </c>
      <c r="D9" s="7">
        <v>4752</v>
      </c>
      <c r="E9" s="7">
        <v>5547</v>
      </c>
      <c r="F9" s="7">
        <v>6814</v>
      </c>
      <c r="G9" s="7">
        <v>8877</v>
      </c>
    </row>
    <row r="10" spans="1:7" x14ac:dyDescent="0.3">
      <c r="A10" t="s">
        <v>12</v>
      </c>
      <c r="B10" s="7">
        <v>4399</v>
      </c>
      <c r="C10" s="7">
        <v>7826</v>
      </c>
      <c r="D10" s="7">
        <v>6947</v>
      </c>
      <c r="E10" s="7">
        <v>6452</v>
      </c>
      <c r="F10" s="7">
        <v>4833</v>
      </c>
      <c r="G10" s="7">
        <v>4433</v>
      </c>
    </row>
    <row r="12" spans="1:7" x14ac:dyDescent="0.3">
      <c r="A12" s="5" t="s">
        <v>107</v>
      </c>
    </row>
    <row r="13" spans="1:7" x14ac:dyDescent="0.3">
      <c r="A13" t="s">
        <v>36</v>
      </c>
      <c r="B13" s="6">
        <v>46113</v>
      </c>
      <c r="C13" s="6">
        <v>46143</v>
      </c>
      <c r="D13" s="6">
        <v>46174</v>
      </c>
      <c r="E13" s="6">
        <v>46204</v>
      </c>
      <c r="F13" s="6">
        <v>46235</v>
      </c>
      <c r="G13" s="6">
        <v>46266</v>
      </c>
    </row>
    <row r="14" spans="1:7" x14ac:dyDescent="0.3">
      <c r="A14" t="s">
        <v>2</v>
      </c>
      <c r="B14" s="8">
        <f>SUMIFS(POData[TotalCost],POData[Category],$A14,POData[MonthKey],"Apr-2026")</f>
        <v>10045.26</v>
      </c>
      <c r="C14" s="8">
        <f>SUMIFS(POData[TotalCost],POData[Category],$A14,POData[MonthKey],"May-2026")</f>
        <v>15551.369999999999</v>
      </c>
      <c r="D14" s="8">
        <f>SUMIFS(POData[TotalCost],POData[Category],$A14,POData[MonthKey],"Jun-2026")</f>
        <v>27749.29</v>
      </c>
      <c r="E14" s="8">
        <f>SUMIFS(POData[TotalCost],POData[Category],$A14,POData[MonthKey],"Jul-2026")</f>
        <v>21686.36</v>
      </c>
      <c r="F14" s="8">
        <f>SUMIFS(POData[TotalCost],POData[Category],$A14,POData[MonthKey],"Aug-2026")</f>
        <v>48491.030000000006</v>
      </c>
      <c r="G14" s="8">
        <f>SUMIFS(POData[TotalCost],POData[Category],$A14,POData[MonthKey],"Sep-2026")</f>
        <v>34118.700000000004</v>
      </c>
    </row>
    <row r="15" spans="1:7" x14ac:dyDescent="0.3">
      <c r="A15" t="s">
        <v>4</v>
      </c>
      <c r="B15" s="8">
        <f>SUMIFS(POData[TotalCost],POData[Category],$A15,POData[MonthKey],"Apr-2026")</f>
        <v>0</v>
      </c>
      <c r="C15" s="8">
        <f>SUMIFS(POData[TotalCost],POData[Category],$A15,POData[MonthKey],"May-2026")</f>
        <v>2479.6799999999998</v>
      </c>
      <c r="D15" s="8">
        <f>SUMIFS(POData[TotalCost],POData[Category],$A15,POData[MonthKey],"Jun-2026")</f>
        <v>2211.6</v>
      </c>
      <c r="E15" s="8">
        <f>SUMIFS(POData[TotalCost],POData[Category],$A15,POData[MonthKey],"Jul-2026")</f>
        <v>2472.66</v>
      </c>
      <c r="F15" s="8">
        <f>SUMIFS(POData[TotalCost],POData[Category],$A15,POData[MonthKey],"Aug-2026")</f>
        <v>2333.1</v>
      </c>
      <c r="G15" s="8">
        <f>SUMIFS(POData[TotalCost],POData[Category],$A15,POData[MonthKey],"Sep-2026")</f>
        <v>7039.38</v>
      </c>
    </row>
    <row r="16" spans="1:7" x14ac:dyDescent="0.3">
      <c r="A16" t="s">
        <v>6</v>
      </c>
      <c r="B16" s="8">
        <f>SUMIFS(POData[TotalCost],POData[Category],$A16,POData[MonthKey],"Apr-2026")</f>
        <v>0</v>
      </c>
      <c r="C16" s="8">
        <f>SUMIFS(POData[TotalCost],POData[Category],$A16,POData[MonthKey],"May-2026")</f>
        <v>18744.579999999998</v>
      </c>
      <c r="D16" s="8">
        <f>SUMIFS(POData[TotalCost],POData[Category],$A16,POData[MonthKey],"Jun-2026")</f>
        <v>777.78</v>
      </c>
      <c r="E16" s="8">
        <f>SUMIFS(POData[TotalCost],POData[Category],$A16,POData[MonthKey],"Jul-2026")</f>
        <v>2074.08</v>
      </c>
      <c r="F16" s="8">
        <f>SUMIFS(POData[TotalCost],POData[Category],$A16,POData[MonthKey],"Aug-2026")</f>
        <v>0</v>
      </c>
      <c r="G16" s="8">
        <f>SUMIFS(POData[TotalCost],POData[Category],$A16,POData[MonthKey],"Sep-2026")</f>
        <v>17548.96</v>
      </c>
    </row>
    <row r="17" spans="1:7" x14ac:dyDescent="0.3">
      <c r="A17" t="s">
        <v>8</v>
      </c>
      <c r="B17" s="8">
        <f>SUMIFS(POData[TotalCost],POData[Category],$A17,POData[MonthKey],"Apr-2026")</f>
        <v>0</v>
      </c>
      <c r="C17" s="8">
        <f>SUMIFS(POData[TotalCost],POData[Category],$A17,POData[MonthKey],"May-2026")</f>
        <v>0</v>
      </c>
      <c r="D17" s="8">
        <f>SUMIFS(POData[TotalCost],POData[Category],$A17,POData[MonthKey],"Jun-2026")</f>
        <v>35743.31</v>
      </c>
      <c r="E17" s="8">
        <f>SUMIFS(POData[TotalCost],POData[Category],$A17,POData[MonthKey],"Jul-2026")</f>
        <v>8192.880000000001</v>
      </c>
      <c r="F17" s="8">
        <f>SUMIFS(POData[TotalCost],POData[Category],$A17,POData[MonthKey],"Aug-2026")</f>
        <v>0</v>
      </c>
      <c r="G17" s="8">
        <f>SUMIFS(POData[TotalCost],POData[Category],$A17,POData[MonthKey],"Sep-2026")</f>
        <v>28092.03</v>
      </c>
    </row>
    <row r="18" spans="1:7" x14ac:dyDescent="0.3">
      <c r="A18" t="s">
        <v>10</v>
      </c>
      <c r="B18" s="8">
        <f>SUMIFS(POData[TotalCost],POData[Category],$A18,POData[MonthKey],"Apr-2026")</f>
        <v>3180</v>
      </c>
      <c r="C18" s="8">
        <f>SUMIFS(POData[TotalCost],POData[Category],$A18,POData[MonthKey],"May-2026")</f>
        <v>32498.000000000004</v>
      </c>
      <c r="D18" s="8">
        <f>SUMIFS(POData[TotalCost],POData[Category],$A18,POData[MonthKey],"Jun-2026")</f>
        <v>11544.49</v>
      </c>
      <c r="E18" s="8">
        <f>SUMIFS(POData[TotalCost],POData[Category],$A18,POData[MonthKey],"Jul-2026")</f>
        <v>0</v>
      </c>
      <c r="F18" s="8">
        <f>SUMIFS(POData[TotalCost],POData[Category],$A18,POData[MonthKey],"Aug-2026")</f>
        <v>38558.18</v>
      </c>
      <c r="G18" s="8">
        <f>SUMIFS(POData[TotalCost],POData[Category],$A18,POData[MonthKey],"Sep-2026")</f>
        <v>25115.18</v>
      </c>
    </row>
    <row r="19" spans="1:7" x14ac:dyDescent="0.3">
      <c r="A19" t="s">
        <v>12</v>
      </c>
      <c r="B19" s="8">
        <f>SUMIFS(POData[TotalCost],POData[Category],$A19,POData[MonthKey],"Apr-2026")</f>
        <v>3299.7</v>
      </c>
      <c r="C19" s="8">
        <f>SUMIFS(POData[TotalCost],POData[Category],$A19,POData[MonthKey],"May-2026")</f>
        <v>15219.07</v>
      </c>
      <c r="D19" s="8">
        <f>SUMIFS(POData[TotalCost],POData[Category],$A19,POData[MonthKey],"Jun-2026")</f>
        <v>0</v>
      </c>
      <c r="E19" s="8">
        <f>SUMIFS(POData[TotalCost],POData[Category],$A19,POData[MonthKey],"Jul-2026")</f>
        <v>0</v>
      </c>
      <c r="F19" s="8">
        <f>SUMIFS(POData[TotalCost],POData[Category],$A19,POData[MonthKey],"Aug-2026")</f>
        <v>5828.58</v>
      </c>
      <c r="G19" s="8">
        <f>SUMIFS(POData[TotalCost],POData[Category],$A19,POData[MonthKey],"Sep-2026")</f>
        <v>0</v>
      </c>
    </row>
    <row r="20" spans="1:7" x14ac:dyDescent="0.3">
      <c r="A20" s="5" t="s">
        <v>108</v>
      </c>
    </row>
    <row r="21" spans="1:7" x14ac:dyDescent="0.3">
      <c r="A21" t="s">
        <v>36</v>
      </c>
      <c r="B21" s="6">
        <v>46113</v>
      </c>
      <c r="C21" s="6">
        <v>46143</v>
      </c>
      <c r="D21" s="6">
        <v>46174</v>
      </c>
      <c r="E21" s="6">
        <v>46204</v>
      </c>
      <c r="F21" s="6">
        <v>46235</v>
      </c>
      <c r="G21" s="6">
        <v>46266</v>
      </c>
    </row>
    <row r="22" spans="1:7" x14ac:dyDescent="0.3">
      <c r="A22" t="s">
        <v>2</v>
      </c>
      <c r="B22" s="9">
        <f t="shared" ref="B22:G27" si="0">B5-B14</f>
        <v>-4357.26</v>
      </c>
      <c r="C22" s="9">
        <f t="shared" si="0"/>
        <v>-11882.369999999999</v>
      </c>
      <c r="D22" s="9">
        <f t="shared" si="0"/>
        <v>-24983.29</v>
      </c>
      <c r="E22" s="9">
        <f t="shared" si="0"/>
        <v>-18556.36</v>
      </c>
      <c r="F22" s="9">
        <f t="shared" si="0"/>
        <v>-46138.030000000006</v>
      </c>
      <c r="G22" s="9">
        <f t="shared" si="0"/>
        <v>-30706.700000000004</v>
      </c>
    </row>
    <row r="23" spans="1:7" x14ac:dyDescent="0.3">
      <c r="A23" t="s">
        <v>4</v>
      </c>
      <c r="B23" s="9">
        <f t="shared" si="0"/>
        <v>4184</v>
      </c>
      <c r="C23" s="9">
        <f t="shared" si="0"/>
        <v>1655.3200000000002</v>
      </c>
      <c r="D23" s="9">
        <f t="shared" si="0"/>
        <v>5104.3999999999996</v>
      </c>
      <c r="E23" s="9">
        <f t="shared" si="0"/>
        <v>1557.3400000000001</v>
      </c>
      <c r="F23" s="9">
        <f t="shared" si="0"/>
        <v>3167.9</v>
      </c>
      <c r="G23" s="9">
        <f t="shared" si="0"/>
        <v>-3794.38</v>
      </c>
    </row>
    <row r="24" spans="1:7" x14ac:dyDescent="0.3">
      <c r="A24" t="s">
        <v>6</v>
      </c>
      <c r="B24" s="9">
        <f t="shared" si="0"/>
        <v>4429</v>
      </c>
      <c r="C24" s="9">
        <f t="shared" si="0"/>
        <v>-16617.579999999998</v>
      </c>
      <c r="D24" s="9">
        <f t="shared" si="0"/>
        <v>2975.2200000000003</v>
      </c>
      <c r="E24" s="9">
        <f t="shared" si="0"/>
        <v>32.920000000000073</v>
      </c>
      <c r="F24" s="9">
        <f t="shared" si="0"/>
        <v>7132</v>
      </c>
      <c r="G24" s="9">
        <f t="shared" si="0"/>
        <v>-11691.96</v>
      </c>
    </row>
    <row r="25" spans="1:7" x14ac:dyDescent="0.3">
      <c r="A25" t="s">
        <v>8</v>
      </c>
      <c r="B25" s="9">
        <f t="shared" si="0"/>
        <v>3326</v>
      </c>
      <c r="C25" s="9">
        <f t="shared" si="0"/>
        <v>5323</v>
      </c>
      <c r="D25" s="9">
        <f t="shared" si="0"/>
        <v>-27201.309999999998</v>
      </c>
      <c r="E25" s="9">
        <f t="shared" si="0"/>
        <v>-5448.880000000001</v>
      </c>
      <c r="F25" s="9">
        <f t="shared" si="0"/>
        <v>7732</v>
      </c>
      <c r="G25" s="9">
        <f t="shared" si="0"/>
        <v>-23067.03</v>
      </c>
    </row>
    <row r="26" spans="1:7" x14ac:dyDescent="0.3">
      <c r="A26" t="s">
        <v>10</v>
      </c>
      <c r="B26" s="9">
        <f t="shared" si="0"/>
        <v>2285</v>
      </c>
      <c r="C26" s="9">
        <f t="shared" si="0"/>
        <v>-24656.000000000004</v>
      </c>
      <c r="D26" s="9">
        <f t="shared" si="0"/>
        <v>-6792.49</v>
      </c>
      <c r="E26" s="9">
        <f t="shared" si="0"/>
        <v>5547</v>
      </c>
      <c r="F26" s="9">
        <f t="shared" si="0"/>
        <v>-31744.18</v>
      </c>
      <c r="G26" s="9">
        <f t="shared" si="0"/>
        <v>-16238.18</v>
      </c>
    </row>
    <row r="27" spans="1:7" x14ac:dyDescent="0.3">
      <c r="A27" t="s">
        <v>12</v>
      </c>
      <c r="B27" s="9">
        <f t="shared" si="0"/>
        <v>1099.3000000000002</v>
      </c>
      <c r="C27" s="9">
        <f t="shared" si="0"/>
        <v>-7393.07</v>
      </c>
      <c r="D27" s="9">
        <f t="shared" si="0"/>
        <v>6947</v>
      </c>
      <c r="E27" s="9">
        <f t="shared" si="0"/>
        <v>6452</v>
      </c>
      <c r="F27" s="9">
        <f t="shared" si="0"/>
        <v>-995.57999999999993</v>
      </c>
      <c r="G27" s="9">
        <f t="shared" si="0"/>
        <v>4433</v>
      </c>
    </row>
    <row r="30" spans="1:7" x14ac:dyDescent="0.3">
      <c r="A30" s="5" t="s">
        <v>109</v>
      </c>
    </row>
    <row r="31" spans="1:7" x14ac:dyDescent="0.3">
      <c r="A31" t="s">
        <v>110</v>
      </c>
      <c r="B31" s="8">
        <f>SUMIF(InventoryData[Status],"Reorder",InventoryData[ReorderCost])</f>
        <v>125193.23000000001</v>
      </c>
    </row>
    <row r="32" spans="1:7" x14ac:dyDescent="0.3">
      <c r="A32" t="s">
        <v>111</v>
      </c>
      <c r="B32">
        <f>COUNTIF(InventoryData[Status],"Reorder")</f>
        <v>15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0"/>
  <sheetViews>
    <sheetView zoomScaleNormal="100" workbookViewId="0">
      <selection activeCell="M8" sqref="M8"/>
    </sheetView>
  </sheetViews>
  <sheetFormatPr defaultColWidth="8.6640625" defaultRowHeight="14.4" x14ac:dyDescent="0.3"/>
  <cols>
    <col min="1" max="1" width="24" customWidth="1"/>
    <col min="2" max="2" width="14" customWidth="1"/>
    <col min="4" max="4" width="18" customWidth="1"/>
    <col min="5" max="5" width="12" customWidth="1"/>
    <col min="7" max="7" width="14" customWidth="1"/>
    <col min="8" max="8" width="12" customWidth="1"/>
  </cols>
  <sheetData>
    <row r="1" spans="1:8" ht="17.399999999999999" x14ac:dyDescent="0.3">
      <c r="A1" s="4" t="s">
        <v>112</v>
      </c>
    </row>
    <row r="3" spans="1:8" x14ac:dyDescent="0.3">
      <c r="A3" s="5" t="s">
        <v>113</v>
      </c>
      <c r="B3" s="8">
        <f>SUM(InventoryData[InventoryValue])</f>
        <v>584887.65</v>
      </c>
      <c r="D3" s="5" t="s">
        <v>114</v>
      </c>
      <c r="G3" s="5" t="s">
        <v>115</v>
      </c>
    </row>
    <row r="4" spans="1:8" x14ac:dyDescent="0.3">
      <c r="A4" s="5" t="s">
        <v>111</v>
      </c>
      <c r="B4" s="10">
        <f>COUNTIF(InventoryData[Status],"Reorder")</f>
        <v>15</v>
      </c>
      <c r="D4" t="s">
        <v>36</v>
      </c>
      <c r="E4" t="s">
        <v>116</v>
      </c>
      <c r="G4" t="s">
        <v>117</v>
      </c>
      <c r="H4" t="s">
        <v>116</v>
      </c>
    </row>
    <row r="5" spans="1:8" x14ac:dyDescent="0.3">
      <c r="A5" s="5" t="s">
        <v>118</v>
      </c>
      <c r="B5" s="8">
        <f>SUMIF(InventoryData[Status],"Reorder",InventoryData[ReorderCost])</f>
        <v>125193.23000000001</v>
      </c>
      <c r="D5" t="s">
        <v>2</v>
      </c>
      <c r="E5" s="8">
        <f>SUMIFS(POData[TotalCost],POData[Category],D5,POData[MonthKey],"Sep-2026")</f>
        <v>34118.700000000004</v>
      </c>
      <c r="G5" s="11">
        <v>46113</v>
      </c>
      <c r="H5" s="8">
        <f>SUMIFS(POData[TotalCost],POData[MonthKey],"Apr-2026")</f>
        <v>16524.96</v>
      </c>
    </row>
    <row r="6" spans="1:8" x14ac:dyDescent="0.3">
      <c r="A6" s="5" t="s">
        <v>119</v>
      </c>
      <c r="B6" s="8">
        <f>SUM(POData[TotalCost])</f>
        <v>420595.25000000006</v>
      </c>
      <c r="D6" t="s">
        <v>4</v>
      </c>
      <c r="E6" s="8">
        <f>SUMIFS(POData[TotalCost],POData[Category],D6,POData[MonthKey],"Sep-2026")</f>
        <v>7039.38</v>
      </c>
      <c r="G6" s="11">
        <v>46143</v>
      </c>
      <c r="H6" s="8">
        <f>SUMIFS(POData[TotalCost],POData[MonthKey],"May-2026")</f>
        <v>84492.700000000012</v>
      </c>
    </row>
    <row r="7" spans="1:8" x14ac:dyDescent="0.3">
      <c r="D7" t="s">
        <v>6</v>
      </c>
      <c r="E7" s="8">
        <f>SUMIFS(POData[TotalCost],POData[Category],D7,POData[MonthKey],"Sep-2026")</f>
        <v>17548.96</v>
      </c>
      <c r="G7" s="11">
        <v>46174</v>
      </c>
      <c r="H7" s="8">
        <f>SUMIFS(POData[TotalCost],POData[MonthKey],"Jun-2026")</f>
        <v>78026.47</v>
      </c>
    </row>
    <row r="8" spans="1:8" x14ac:dyDescent="0.3">
      <c r="D8" t="s">
        <v>8</v>
      </c>
      <c r="E8" s="8">
        <f>SUMIFS(POData[TotalCost],POData[Category],D8,POData[MonthKey],"Sep-2026")</f>
        <v>28092.03</v>
      </c>
      <c r="G8" s="11">
        <v>46204</v>
      </c>
      <c r="H8" s="8">
        <f>SUMIFS(POData[TotalCost],POData[MonthKey],"Jul-2026")</f>
        <v>34425.980000000003</v>
      </c>
    </row>
    <row r="9" spans="1:8" x14ac:dyDescent="0.3">
      <c r="D9" t="s">
        <v>10</v>
      </c>
      <c r="E9" s="8">
        <f>SUMIFS(POData[TotalCost],POData[Category],D9,POData[MonthKey],"Sep-2026")</f>
        <v>25115.18</v>
      </c>
      <c r="G9" s="11">
        <v>46235</v>
      </c>
      <c r="H9" s="8">
        <f>SUMIFS(POData[TotalCost],POData[MonthKey],"Aug-2026")</f>
        <v>95210.89</v>
      </c>
    </row>
    <row r="10" spans="1:8" x14ac:dyDescent="0.3">
      <c r="A10" s="12" t="s">
        <v>120</v>
      </c>
      <c r="D10" t="s">
        <v>12</v>
      </c>
      <c r="E10" s="8">
        <f>SUMIFS(POData[TotalCost],POData[Category],D10,POData[MonthKey],"Sep-2026")</f>
        <v>0</v>
      </c>
      <c r="G10" s="11">
        <v>46266</v>
      </c>
      <c r="H10" s="8">
        <f>SUMIFS(POData[TotalCost],POData[MonthKey],"Sep-2026")</f>
        <v>111914.24999999999</v>
      </c>
    </row>
  </sheetData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eorderPOs">
                <anchor moveWithCells="1" sizeWithCells="1">
                  <from>
                    <xdr:col>0</xdr:col>
                    <xdr:colOff>45720</xdr:colOff>
                    <xdr:row>0</xdr:row>
                    <xdr:rowOff>53340</xdr:rowOff>
                  </from>
                  <to>
                    <xdr:col>0</xdr:col>
                    <xdr:colOff>1630680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13C71F5A-C4AD-4F05-86D8-D7B99777B737}">
  <ds:schemaRefs/>
</ds:datastoreItem>
</file>

<file path=customXml/itemProps2.xml><?xml version="1.0" encoding="utf-8"?>
<ds:datastoreItem xmlns:ds="http://schemas.openxmlformats.org/officeDocument/2006/customXml" ds:itemID="{C06A8A14-BDCA-44CD-89B2-59045E7F51E3}">
  <ds:schemaRefs/>
</ds:datastoreItem>
</file>

<file path=customXml/itemProps3.xml><?xml version="1.0" encoding="utf-8"?>
<ds:datastoreItem xmlns:ds="http://schemas.openxmlformats.org/officeDocument/2006/customXml" ds:itemID="{0F2F94E0-0B07-4E5A-B16F-5779C8E97AE4}">
  <ds:schemaRefs/>
</ds:datastoreItem>
</file>

<file path=customXml/itemProps4.xml><?xml version="1.0" encoding="utf-8"?>
<ds:datastoreItem xmlns:ds="http://schemas.openxmlformats.org/officeDocument/2006/customXml" ds:itemID="{6A1CB24C-6FB3-462F-B69A-566B4888650D}">
  <ds:schemaRefs/>
</ds:datastoreItem>
</file>

<file path=customXml/itemProps5.xml><?xml version="1.0" encoding="utf-8"?>
<ds:datastoreItem xmlns:ds="http://schemas.openxmlformats.org/officeDocument/2006/customXml" ds:itemID="{D1FEA199-0792-448B-99AE-FE8289264CB3}">
  <ds:schemaRefs/>
</ds:datastoreItem>
</file>

<file path=customXml/itemProps6.xml><?xml version="1.0" encoding="utf-8"?>
<ds:datastoreItem xmlns:ds="http://schemas.openxmlformats.org/officeDocument/2006/customXml" ds:itemID="{F01C753E-6288-4727-893E-1B9A7EF7213B}">
  <ds:schemaRefs/>
</ds:datastoreItem>
</file>

<file path=customXml/itemProps7.xml><?xml version="1.0" encoding="utf-8"?>
<ds:datastoreItem xmlns:ds="http://schemas.openxmlformats.org/officeDocument/2006/customXml" ds:itemID="{09CD31FC-5CF3-4A77-8217-D904C442EF46}">
  <ds:schemaRefs/>
</ds:datastoreItem>
</file>

<file path=customXml/itemProps8.xml><?xml version="1.0" encoding="utf-8"?>
<ds:datastoreItem xmlns:ds="http://schemas.openxmlformats.org/officeDocument/2006/customXml" ds:itemID="{9EADD0B5-A773-469F-AD45-ADA7383332C2}">
  <ds:schemaRefs/>
</ds:datastoreItem>
</file>

<file path=customXml/itemProps9.xml><?xml version="1.0" encoding="utf-8"?>
<ds:datastoreItem xmlns:ds="http://schemas.openxmlformats.org/officeDocument/2006/customXml" ds:itemID="{82EBC9E0-7446-42BB-92F7-44B44CF2275D}">
  <ds:schemaRefs/>
</ds:datastoreItem>
</file>

<file path=customXml/itemProps10.xml><?xml version="1.0" encoding="utf-8"?>
<ds:datastoreItem xmlns:ds="http://schemas.openxmlformats.org/officeDocument/2006/customXml" ds:itemID="{4FE83ED1-58BF-43F9-83DE-E48BC140574E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84CD8D53-F921-4751-A075-9C0642A2CDB0}">
  <ds:schemaRefs/>
</ds:datastoreItem>
</file>

<file path=customXml/itemProps12.xml><?xml version="1.0" encoding="utf-8"?>
<ds:datastoreItem xmlns:ds="http://schemas.openxmlformats.org/officeDocument/2006/customXml" ds:itemID="{17E35128-0F8E-4FC8-BDEF-2479D9648C94}">
  <ds:schemaRefs/>
</ds:datastoreItem>
</file>

<file path=customXml/itemProps13.xml><?xml version="1.0" encoding="utf-8"?>
<ds:datastoreItem xmlns:ds="http://schemas.openxmlformats.org/officeDocument/2006/customXml" ds:itemID="{E93CDF0D-A9BA-4F08-AD23-741C2125C023}">
  <ds:schemaRefs/>
</ds:datastoreItem>
</file>

<file path=customXml/itemProps14.xml><?xml version="1.0" encoding="utf-8"?>
<ds:datastoreItem xmlns:ds="http://schemas.openxmlformats.org/officeDocument/2006/customXml" ds:itemID="{A5FDD70E-D902-4893-92F2-E2009DEAC710}">
  <ds:schemaRefs/>
</ds:datastoreItem>
</file>

<file path=customXml/itemProps15.xml><?xml version="1.0" encoding="utf-8"?>
<ds:datastoreItem xmlns:ds="http://schemas.openxmlformats.org/officeDocument/2006/customXml" ds:itemID="{96BB7D82-3A44-41E8-8491-D80C3ADC4103}">
  <ds:schemaRefs/>
</ds:datastoreItem>
</file>

<file path=customXml/itemProps16.xml><?xml version="1.0" encoding="utf-8"?>
<ds:datastoreItem xmlns:ds="http://schemas.openxmlformats.org/officeDocument/2006/customXml" ds:itemID="{D6B1B07F-E1F1-406F-93DE-05E55C564EC4}">
  <ds:schemaRefs/>
</ds:datastoreItem>
</file>

<file path=customXml/itemProps17.xml><?xml version="1.0" encoding="utf-8"?>
<ds:datastoreItem xmlns:ds="http://schemas.openxmlformats.org/officeDocument/2006/customXml" ds:itemID="{59056F77-C3EC-49A7-9C64-331EB4D1A5C9}">
  <ds:schemaRefs/>
</ds:datastoreItem>
</file>

<file path=customXml/itemProps18.xml><?xml version="1.0" encoding="utf-8"?>
<ds:datastoreItem xmlns:ds="http://schemas.openxmlformats.org/officeDocument/2006/customXml" ds:itemID="{587638D0-8F1C-4BC0-8F56-DF17A05234A6}">
  <ds:schemaRefs/>
</ds:datastoreItem>
</file>

<file path=customXml/itemProps19.xml><?xml version="1.0" encoding="utf-8"?>
<ds:datastoreItem xmlns:ds="http://schemas.openxmlformats.org/officeDocument/2006/customXml" ds:itemID="{8BA1097B-5A47-4C78-AFAF-7D98B4D98426}">
  <ds:schemaRefs/>
</ds:datastoreItem>
</file>

<file path=customXml/itemProps20.xml><?xml version="1.0" encoding="utf-8"?>
<ds:datastoreItem xmlns:ds="http://schemas.openxmlformats.org/officeDocument/2006/customXml" ds:itemID="{16C66447-C1F9-4F97-9E0D-A61768EC7FCB}">
  <ds:schemaRefs/>
</ds:datastoreItem>
</file>

<file path=customXml/itemProps21.xml><?xml version="1.0" encoding="utf-8"?>
<ds:datastoreItem xmlns:ds="http://schemas.openxmlformats.org/officeDocument/2006/customXml" ds:itemID="{652A6B0E-5A04-4BA0-AA10-769A01175AB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Lists</vt:lpstr>
      <vt:lpstr>SupplierData</vt:lpstr>
      <vt:lpstr>SupplierData_1</vt:lpstr>
      <vt:lpstr>Suppliers</vt:lpstr>
      <vt:lpstr>Inventory</vt:lpstr>
      <vt:lpstr>InventoryWithSupplierInfo</vt:lpstr>
      <vt:lpstr>POData</vt:lpstr>
      <vt:lpstr>POData_1 (2)</vt:lpstr>
      <vt:lpstr>PurchaseOrders</vt:lpstr>
      <vt:lpstr>BudgetModel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Alan Sha</cp:lastModifiedBy>
  <cp:revision>1</cp:revision>
  <dcterms:created xsi:type="dcterms:W3CDTF">2026-09-15T09:35:17Z</dcterms:created>
  <dcterms:modified xsi:type="dcterms:W3CDTF">2026-09-15T13:24:51Z</dcterms:modified>
  <dc:language>en-US</dc:language>
</cp:coreProperties>
</file>