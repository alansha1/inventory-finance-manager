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Lists" sheetId="1" state="hidden" r:id="rId3"/>
    <sheet name="Suppliers" sheetId="2" state="visible" r:id="rId4"/>
    <sheet name="Inventory" sheetId="3" state="visible" r:id="rId5"/>
    <sheet name="PurchaseOrders" sheetId="4" state="visible" r:id="rId6"/>
    <sheet name="BudgetModel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<sst xmlns="http://schemas.openxmlformats.org/spreadsheetml/2006/main" count="273" uniqueCount="121">
  <si>
    <t xml:space="preserve">Categories</t>
  </si>
  <si>
    <t xml:space="preserve">Suppliers</t>
  </si>
  <si>
    <t xml:space="preserve">Electronics</t>
  </si>
  <si>
    <t xml:space="preserve">Dublin Tech Distributors</t>
  </si>
  <si>
    <t xml:space="preserve">Office Supplies</t>
  </si>
  <si>
    <t xml:space="preserve">Leinster Office Supplies</t>
  </si>
  <si>
    <t xml:space="preserve">Furniture</t>
  </si>
  <si>
    <t xml:space="preserve">Emerald Furniture Co.</t>
  </si>
  <si>
    <t xml:space="preserve">Software</t>
  </si>
  <si>
    <t xml:space="preserve">CloudSoft Licensing</t>
  </si>
  <si>
    <t xml:space="preserve">Packaging</t>
  </si>
  <si>
    <t xml:space="preserve">Shannon Packaging Ltd</t>
  </si>
  <si>
    <t xml:space="preserve">Cleaning Supplies</t>
  </si>
  <si>
    <t xml:space="preserve">GreenClean Wholesale</t>
  </si>
  <si>
    <t xml:space="preserve">SupplierID</t>
  </si>
  <si>
    <t xml:space="preserve">SupplierName</t>
  </si>
  <si>
    <t xml:space="preserve">ContactEmail</t>
  </si>
  <si>
    <t xml:space="preserve">LeadTimeDays</t>
  </si>
  <si>
    <t xml:space="preserve">PaymentTerms</t>
  </si>
  <si>
    <t xml:space="preserve">SUP-01</t>
  </si>
  <si>
    <t xml:space="preserve">orders@dubtech.ie</t>
  </si>
  <si>
    <t xml:space="preserve">Net 30</t>
  </si>
  <si>
    <t xml:space="preserve">SUP-02</t>
  </si>
  <si>
    <t xml:space="preserve">sales@leinsteroffice.ie</t>
  </si>
  <si>
    <t xml:space="preserve">Net 15</t>
  </si>
  <si>
    <t xml:space="preserve">SUP-03</t>
  </si>
  <si>
    <t xml:space="preserve">orders@emeraldfurn.ie</t>
  </si>
  <si>
    <t xml:space="preserve">Net 45</t>
  </si>
  <si>
    <t xml:space="preserve">SUP-04</t>
  </si>
  <si>
    <t xml:space="preserve">billing@cloudsoft.com</t>
  </si>
  <si>
    <t xml:space="preserve">SUP-05</t>
  </si>
  <si>
    <t xml:space="preserve">sales@shannonpack.ie</t>
  </si>
  <si>
    <t xml:space="preserve">SUP-06</t>
  </si>
  <si>
    <t xml:space="preserve">orders@greenclean.ie</t>
  </si>
  <si>
    <t xml:space="preserve">ItemID</t>
  </si>
  <si>
    <t xml:space="preserve">ItemName</t>
  </si>
  <si>
    <t xml:space="preserve">Category</t>
  </si>
  <si>
    <t xml:space="preserve">Supplier</t>
  </si>
  <si>
    <t xml:space="preserve">UnitCost</t>
  </si>
  <si>
    <t xml:space="preserve">UnitPrice</t>
  </si>
  <si>
    <t xml:space="preserve">QuantityOnHand</t>
  </si>
  <si>
    <t xml:space="preserve">ReorderLevel</t>
  </si>
  <si>
    <t xml:space="preserve">ReorderQuantity</t>
  </si>
  <si>
    <t xml:space="preserve">InventoryValue</t>
  </si>
  <si>
    <t xml:space="preserve">ReorderCost</t>
  </si>
  <si>
    <t xml:space="preserve">Status</t>
  </si>
  <si>
    <t xml:space="preserve">Laptop v1</t>
  </si>
  <si>
    <t xml:space="preserve">Laptop v2</t>
  </si>
  <si>
    <t xml:space="preserve">Monitor v1</t>
  </si>
  <si>
    <t xml:space="preserve">Docking Station v1</t>
  </si>
  <si>
    <t xml:space="preserve">Docking Station v2</t>
  </si>
  <si>
    <t xml:space="preserve">Docking Station v3</t>
  </si>
  <si>
    <t xml:space="preserve">Wireless Mouse v1</t>
  </si>
  <si>
    <t xml:space="preserve">Headset v1</t>
  </si>
  <si>
    <t xml:space="preserve">Headset v2</t>
  </si>
  <si>
    <t xml:space="preserve">Headset v3</t>
  </si>
  <si>
    <t xml:space="preserve">Webcam v1</t>
  </si>
  <si>
    <t xml:space="preserve">Webcam v2</t>
  </si>
  <si>
    <t xml:space="preserve">USB Hub v1</t>
  </si>
  <si>
    <t xml:space="preserve">USB Hub v2</t>
  </si>
  <si>
    <t xml:space="preserve">Notebook v1</t>
  </si>
  <si>
    <t xml:space="preserve">Notebook v2</t>
  </si>
  <si>
    <t xml:space="preserve">Printer Paper (Ream) v1</t>
  </si>
  <si>
    <t xml:space="preserve">Printer Paper (Ream) v2</t>
  </si>
  <si>
    <t xml:space="preserve">Stapler v1</t>
  </si>
  <si>
    <t xml:space="preserve">Stapler v2</t>
  </si>
  <si>
    <t xml:space="preserve">Stapler v3</t>
  </si>
  <si>
    <t xml:space="preserve">Pen Pack v1</t>
  </si>
  <si>
    <t xml:space="preserve">Pen Pack v2</t>
  </si>
  <si>
    <t xml:space="preserve">Sticky Notes v1</t>
  </si>
  <si>
    <t xml:space="preserve">Sticky Notes v2</t>
  </si>
  <si>
    <t xml:space="preserve">Binder v1</t>
  </si>
  <si>
    <t xml:space="preserve">Binder v2</t>
  </si>
  <si>
    <t xml:space="preserve">Office Desk v1</t>
  </si>
  <si>
    <t xml:space="preserve">Ergonomic Chair v1</t>
  </si>
  <si>
    <t xml:space="preserve">Filing Cabinet v1</t>
  </si>
  <si>
    <t xml:space="preserve">Bookshelf v1</t>
  </si>
  <si>
    <t xml:space="preserve">Bookshelf v2</t>
  </si>
  <si>
    <t xml:space="preserve">Bookshelf v3</t>
  </si>
  <si>
    <t xml:space="preserve">Whiteboard v1</t>
  </si>
  <si>
    <t xml:space="preserve">Office Suite License v1</t>
  </si>
  <si>
    <t xml:space="preserve">Antivirus License v1</t>
  </si>
  <si>
    <t xml:space="preserve">Design Tool License v1</t>
  </si>
  <si>
    <t xml:space="preserve">Design Tool License v2</t>
  </si>
  <si>
    <t xml:space="preserve">Cloud Storage Plan v1</t>
  </si>
  <si>
    <t xml:space="preserve">Shipping Box (Small) v1</t>
  </si>
  <si>
    <t xml:space="preserve">Shipping Box (Small) v2</t>
  </si>
  <si>
    <t xml:space="preserve">Shipping Box (Small) v3</t>
  </si>
  <si>
    <t xml:space="preserve">Shipping Box (Large) v1</t>
  </si>
  <si>
    <t xml:space="preserve">Shipping Box (Large) v2</t>
  </si>
  <si>
    <t xml:space="preserve">Shipping Box (Large) v3</t>
  </si>
  <si>
    <t xml:space="preserve">Bubble Wrap Roll v1</t>
  </si>
  <si>
    <t xml:space="preserve">Packing Tape v1</t>
  </si>
  <si>
    <t xml:space="preserve">Packing Tape v2</t>
  </si>
  <si>
    <t xml:space="preserve">Disinfectant Spray v1</t>
  </si>
  <si>
    <t xml:space="preserve">Disinfectant Spray v2</t>
  </si>
  <si>
    <t xml:space="preserve">Paper Towels v1</t>
  </si>
  <si>
    <t xml:space="preserve">Hand Sanitizer v1</t>
  </si>
  <si>
    <t xml:space="preserve">Hand Sanitizer v2</t>
  </si>
  <si>
    <t xml:space="preserve">Trash Bags v1</t>
  </si>
  <si>
    <t xml:space="preserve">POID</t>
  </si>
  <si>
    <t xml:space="preserve">Date</t>
  </si>
  <si>
    <t xml:space="preserve">QuantityOrdered</t>
  </si>
  <si>
    <t xml:space="preserve">TotalCost</t>
  </si>
  <si>
    <t xml:space="preserve">MonthKey</t>
  </si>
  <si>
    <t xml:space="preserve">Budget vs Actual Spend by Category</t>
  </si>
  <si>
    <t xml:space="preserve">Monthly Budget by Category ($) — editable inputs</t>
  </si>
  <si>
    <t xml:space="preserve">Actual Spend by Category ($) — from Purchase Orders</t>
  </si>
  <si>
    <t xml:space="preserve">Variance (Budget − Actual)</t>
  </si>
  <si>
    <t xml:space="preserve">Reorder Cost Forecast (items currently below reorder level)</t>
  </si>
  <si>
    <t xml:space="preserve">Total Forecast Reorder Cost</t>
  </si>
  <si>
    <t xml:space="preserve">Items Needing Reorder</t>
  </si>
  <si>
    <t xml:space="preserve">Inventory &amp; Finance Dashboard</t>
  </si>
  <si>
    <t xml:space="preserve">Total Inventory Value</t>
  </si>
  <si>
    <t xml:space="preserve">Actual Spend by Category (latest month)</t>
  </si>
  <si>
    <t xml:space="preserve">Total PO Spend by Month</t>
  </si>
  <si>
    <t xml:space="preserve">Spend</t>
  </si>
  <si>
    <t xml:space="preserve">Month</t>
  </si>
  <si>
    <t xml:space="preserve">Forecast Reorder Cost</t>
  </si>
  <si>
    <t xml:space="preserve">Total PO Spend (All Time)</t>
  </si>
  <si>
    <t xml:space="preserve">Note: 'Generate POs for Low Stock' button — add after inserting the VBA macro (see README).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</si>
</sst>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yyyy\-mm\-dd"/>
    <numFmt numFmtId="167" formatCode="mmm\-yyyy"/>
    <numFmt numFmtId="168" formatCode="\$#,##0"/>
    <numFmt numFmtId="169" formatCode="\$#,##0;&quot;($&quot;#,##0\);\-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Spend by Category (latest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Dashboard!$D$5:$D$10</c:f>
              <c:strCache>
                <c:ptCount val="6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Software</c:v>
                </c:pt>
                <c:pt idx="4">
                  <c:v>Packaging</c:v>
                </c:pt>
                <c:pt idx="5">
                  <c:v>Cleaning Supplies</c:v>
                </c:pt>
              </c:strCache>
            </c:strRef>
          </c:cat>
          <c:val>
            <c:numRef>
              <c:f>Dashboard!$E$5:$E$10</c:f>
              <c:numCache>
                <c:formatCode>\$#,##0</c:formatCode>
                <c:ptCount val="6"/>
                <c:pt idx="0">
                  <c:v>34118.7</c:v>
                </c:pt>
                <c:pt idx="1">
                  <c:v>7039.38</c:v>
                </c:pt>
                <c:pt idx="2">
                  <c:v>17548.96</c:v>
                </c:pt>
                <c:pt idx="3">
                  <c:v>28092.03</c:v>
                </c:pt>
                <c:pt idx="4">
                  <c:v>25115.18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0115574"/>
        <c:axId val="70674654"/>
      </c:barChart>
      <c:catAx>
        <c:axId val="30115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74654"/>
        <c:crosses val="autoZero"/>
        <c:auto val="1"/>
        <c:lblAlgn val="ctr"/>
        <c:lblOffset val="100"/>
        <c:noMultiLvlLbl val="0"/>
      </c:catAx>
      <c:valAx>
        <c:axId val="70674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15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PO Spend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Dashboard!H4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Dashboard!$G$5:$G$10</c:f>
              <c:strCache>
                <c:ptCount val="6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</c:strCache>
            </c:strRef>
          </c:cat>
          <c:val>
            <c:numRef>
              <c:f>Dashboard!$H$5:$H$10</c:f>
              <c:numCache>
                <c:formatCode>\$#,##0</c:formatCode>
                <c:ptCount val="6"/>
                <c:pt idx="0">
                  <c:v>16524.96</c:v>
                </c:pt>
                <c:pt idx="1">
                  <c:v>84492.7</c:v>
                </c:pt>
                <c:pt idx="2">
                  <c:v>78026.47</c:v>
                </c:pt>
                <c:pt idx="3">
                  <c:v>34425.98</c:v>
                </c:pt>
                <c:pt idx="4">
                  <c:v>95210.89</c:v>
                </c:pt>
                <c:pt idx="5">
                  <c:v>111914.25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607602"/>
        <c:axId val="84960560"/>
      </c:lineChart>
      <c:catAx>
        <c:axId val="22607602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60560"/>
        <c:crosses val="autoZero"/>
        <c:auto val="1"/>
        <c:lblAlgn val="ctr"/>
        <c:lblOffset val="100"/>
        <c:noMultiLvlLbl val="0"/>
      </c:catAx>
      <c:valAx>
        <c:axId val="84960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07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160560</xdr:rowOff>
    </xdr:from>
    <xdr:to>
      <xdr:col>9</xdr:col>
      <xdr:colOff>229680</xdr:colOff>
      <xdr:row>25</xdr:row>
      <xdr:rowOff>182880</xdr:rowOff>
    </xdr:to>
    <xdr:graphicFrame>
      <xdr:nvGraphicFramePr>
        <xdr:cNvPr id="0" name="Chart 1"/>
        <xdr:cNvGraphicFramePr/>
      </xdr:nvGraphicFramePr>
      <xdr:xfrm>
        <a:off x="3290040" y="2095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160560</xdr:rowOff>
    </xdr:from>
    <xdr:to>
      <xdr:col>13</xdr:col>
      <xdr:colOff>509400</xdr:colOff>
      <xdr:row>25</xdr:row>
      <xdr:rowOff>182880</xdr:rowOff>
    </xdr:to>
    <xdr:graphicFrame>
      <xdr:nvGraphicFramePr>
        <xdr:cNvPr id="1" name="Chart 2"/>
        <xdr:cNvGraphicFramePr/>
      </xdr:nvGraphicFramePr>
      <xdr:xfrm>
        <a:off x="6015960" y="2095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oryData" displayName="InventoryData" ref="A1:L55" headerRowCount="1" totalsRowCount="0" totalsRowShown="0">
  <autoFilter ref="A1:L55"/>
  <tableColumns count="12">
    <tableColumn id="1" name="ItemID"/>
    <tableColumn id="2" name="ItemName"/>
    <tableColumn id="3" name="Category"/>
    <tableColumn id="4" name="Supplier"/>
    <tableColumn id="5" name="UnitCost"/>
    <tableColumn id="6" name="UnitPrice"/>
    <tableColumn id="7" name="QuantityOnHand"/>
    <tableColumn id="8" name="ReorderLevel"/>
    <tableColumn id="9" name="ReorderQuantity"/>
    <tableColumn id="10" name="InventoryValue"/>
    <tableColumn id="11" name="ReorderCost"/>
    <tableColumn id="12" name="Status"/>
  </tableColumns>
</table>
</file>

<file path=xl/tables/table2.xml><?xml version="1.0" encoding="utf-8"?>
<table xmlns="http://schemas.openxmlformats.org/spreadsheetml/2006/main" id="2" name="POData" displayName="POData" ref="A1:J61" headerRowCount="1" totalsRowCount="0" totalsRowShown="0">
  <autoFilter ref="A1:J61"/>
  <tableColumns count="10">
    <tableColumn id="1" name="POID"/>
    <tableColumn id="2" name="Date"/>
    <tableColumn id="3" name="ItemID"/>
    <tableColumn id="4" name="ItemName"/>
    <tableColumn id="5" name="Category"/>
    <tableColumn id="6" name="Supplier"/>
    <tableColumn id="7" name="QuantityOrdered"/>
    <tableColumn id="8" name="UnitCost"/>
    <tableColumn id="9" name="TotalCost"/>
    <tableColumn id="10" name="MonthKey"/>
  </tableColumns>
</table>
</file>

<file path=xl/tables/table3.xml><?xml version="1.0" encoding="utf-8"?>
<table xmlns="http://schemas.openxmlformats.org/spreadsheetml/2006/main" id="3" name="SupplierData" displayName="SupplierData" ref="A1:E7" headerRowCount="1" totalsRowCount="0" totalsRowShown="0">
  <autoFilter ref="A1:E7"/>
  <tableColumns count="5">
    <tableColumn id="1" name="SupplierID"/>
    <tableColumn id="2" name="SupplierName"/>
    <tableColumn id="3" name="ContactEmail"/>
    <tableColumn id="4" name="LeadTimeDays"/>
    <tableColumn id="5" name="PaymentTerm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customFormat="false" ht="15" hidden="false" customHeight="false" outlineLevel="0" collapsed="false">
      <c r="A2" s="0" t="s">
        <v>19</v>
      </c>
      <c r="B2" s="0" t="s">
        <v>3</v>
      </c>
      <c r="C2" s="0" t="s">
        <v>20</v>
      </c>
      <c r="D2" s="0" t="n">
        <v>5</v>
      </c>
      <c r="E2" s="0" t="s">
        <v>21</v>
      </c>
    </row>
    <row r="3" customFormat="false" ht="15" hidden="false" customHeight="false" outlineLevel="0" collapsed="false">
      <c r="A3" s="0" t="s">
        <v>22</v>
      </c>
      <c r="B3" s="0" t="s">
        <v>5</v>
      </c>
      <c r="C3" s="0" t="s">
        <v>23</v>
      </c>
      <c r="D3" s="0" t="n">
        <v>3</v>
      </c>
      <c r="E3" s="0" t="s">
        <v>24</v>
      </c>
    </row>
    <row r="4" customFormat="false" ht="15" hidden="false" customHeight="false" outlineLevel="0" collapsed="false">
      <c r="A4" s="0" t="s">
        <v>25</v>
      </c>
      <c r="B4" s="0" t="s">
        <v>7</v>
      </c>
      <c r="C4" s="0" t="s">
        <v>26</v>
      </c>
      <c r="D4" s="0" t="n">
        <v>10</v>
      </c>
      <c r="E4" s="0" t="s">
        <v>27</v>
      </c>
    </row>
    <row r="5" customFormat="false" ht="15" hidden="false" customHeight="false" outlineLevel="0" collapsed="false">
      <c r="A5" s="0" t="s">
        <v>28</v>
      </c>
      <c r="B5" s="0" t="s">
        <v>9</v>
      </c>
      <c r="C5" s="0" t="s">
        <v>29</v>
      </c>
      <c r="D5" s="0" t="n">
        <v>1</v>
      </c>
      <c r="E5" s="0" t="s">
        <v>21</v>
      </c>
    </row>
    <row r="6" customFormat="false" ht="15" hidden="false" customHeight="false" outlineLevel="0" collapsed="false">
      <c r="A6" s="0" t="s">
        <v>30</v>
      </c>
      <c r="B6" s="0" t="s">
        <v>11</v>
      </c>
      <c r="C6" s="0" t="s">
        <v>31</v>
      </c>
      <c r="D6" s="0" t="n">
        <v>4</v>
      </c>
      <c r="E6" s="0" t="s">
        <v>21</v>
      </c>
    </row>
    <row r="7" customFormat="false" ht="15" hidden="false" customHeight="false" outlineLevel="0" collapsed="false">
      <c r="A7" s="0" t="s">
        <v>32</v>
      </c>
      <c r="B7" s="0" t="s">
        <v>13</v>
      </c>
      <c r="C7" s="0" t="s">
        <v>33</v>
      </c>
      <c r="D7" s="0" t="n">
        <v>6</v>
      </c>
      <c r="E7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customFormat="false" ht="15" hidden="false" customHeight="false" outlineLevel="0" collapsed="false">
      <c r="A2" s="0" t="n">
        <v>4001</v>
      </c>
      <c r="B2" s="0" t="s">
        <v>46</v>
      </c>
      <c r="C2" s="2" t="s">
        <v>2</v>
      </c>
      <c r="D2" s="2" t="s">
        <v>3</v>
      </c>
      <c r="E2" s="3" t="n">
        <v>379.25</v>
      </c>
      <c r="F2" s="3" t="n">
        <v>582.87</v>
      </c>
      <c r="G2" s="0" t="n">
        <v>6</v>
      </c>
      <c r="H2" s="0" t="n">
        <v>12</v>
      </c>
      <c r="I2" s="0" t="n">
        <v>72</v>
      </c>
      <c r="J2" s="3" t="n">
        <f aca="false">E2*G2</f>
        <v>2275.5</v>
      </c>
      <c r="K2" s="3" t="n">
        <f aca="false">E2*I2</f>
        <v>27306</v>
      </c>
      <c r="L2" s="0" t="str">
        <f aca="false">IF(G2&lt;=H2,"Reorder","OK")</f>
        <v>Reorder</v>
      </c>
    </row>
    <row r="3" customFormat="false" ht="15" hidden="false" customHeight="false" outlineLevel="0" collapsed="false">
      <c r="A3" s="0" t="n">
        <v>4002</v>
      </c>
      <c r="B3" s="0" t="s">
        <v>47</v>
      </c>
      <c r="C3" s="2" t="s">
        <v>2</v>
      </c>
      <c r="D3" s="2" t="s">
        <v>3</v>
      </c>
      <c r="E3" s="3" t="n">
        <v>215.28</v>
      </c>
      <c r="F3" s="3" t="n">
        <v>327.1</v>
      </c>
      <c r="G3" s="0" t="n">
        <v>7</v>
      </c>
      <c r="H3" s="0" t="n">
        <v>39</v>
      </c>
      <c r="I3" s="0" t="n">
        <v>52</v>
      </c>
      <c r="J3" s="3" t="n">
        <f aca="false">E3*G3</f>
        <v>1506.96</v>
      </c>
      <c r="K3" s="3" t="n">
        <f aca="false">E3*I3</f>
        <v>11194.56</v>
      </c>
      <c r="L3" s="0" t="str">
        <f aca="false">IF(G3&lt;=H3,"Reorder","OK")</f>
        <v>Reorder</v>
      </c>
    </row>
    <row r="4" customFormat="false" ht="15" hidden="false" customHeight="false" outlineLevel="0" collapsed="false">
      <c r="A4" s="0" t="n">
        <v>4003</v>
      </c>
      <c r="B4" s="0" t="s">
        <v>48</v>
      </c>
      <c r="C4" s="2" t="s">
        <v>2</v>
      </c>
      <c r="D4" s="2" t="s">
        <v>3</v>
      </c>
      <c r="E4" s="3" t="n">
        <v>16.92</v>
      </c>
      <c r="F4" s="3" t="n">
        <v>26.4</v>
      </c>
      <c r="G4" s="0" t="n">
        <v>8</v>
      </c>
      <c r="H4" s="0" t="n">
        <v>17</v>
      </c>
      <c r="I4" s="0" t="n">
        <v>25</v>
      </c>
      <c r="J4" s="3" t="n">
        <f aca="false">E4*G4</f>
        <v>135.36</v>
      </c>
      <c r="K4" s="3" t="n">
        <f aca="false">E4*I4</f>
        <v>423</v>
      </c>
      <c r="L4" s="0" t="str">
        <f aca="false">IF(G4&lt;=H4,"Reorder","OK")</f>
        <v>Reorder</v>
      </c>
    </row>
    <row r="5" customFormat="false" ht="15" hidden="false" customHeight="false" outlineLevel="0" collapsed="false">
      <c r="A5" s="0" t="n">
        <v>4004</v>
      </c>
      <c r="B5" s="0" t="s">
        <v>49</v>
      </c>
      <c r="C5" s="2" t="s">
        <v>2</v>
      </c>
      <c r="D5" s="2" t="s">
        <v>3</v>
      </c>
      <c r="E5" s="3" t="n">
        <v>170.96</v>
      </c>
      <c r="F5" s="3" t="n">
        <v>307.06</v>
      </c>
      <c r="G5" s="0" t="n">
        <v>15</v>
      </c>
      <c r="H5" s="0" t="n">
        <v>40</v>
      </c>
      <c r="I5" s="0" t="n">
        <v>34</v>
      </c>
      <c r="J5" s="3" t="n">
        <f aca="false">E5*G5</f>
        <v>2564.4</v>
      </c>
      <c r="K5" s="3" t="n">
        <f aca="false">E5*I5</f>
        <v>5812.64</v>
      </c>
      <c r="L5" s="0" t="str">
        <f aca="false">IF(G5&lt;=H5,"Reorder","OK")</f>
        <v>Reorder</v>
      </c>
    </row>
    <row r="6" customFormat="false" ht="15" hidden="false" customHeight="false" outlineLevel="0" collapsed="false">
      <c r="A6" s="0" t="n">
        <v>4005</v>
      </c>
      <c r="B6" s="0" t="s">
        <v>50</v>
      </c>
      <c r="C6" s="2" t="s">
        <v>2</v>
      </c>
      <c r="D6" s="2" t="s">
        <v>3</v>
      </c>
      <c r="E6" s="3" t="n">
        <v>252.99</v>
      </c>
      <c r="F6" s="3" t="n">
        <v>417.38</v>
      </c>
      <c r="G6" s="0" t="n">
        <v>7</v>
      </c>
      <c r="H6" s="0" t="n">
        <v>28</v>
      </c>
      <c r="I6" s="0" t="n">
        <v>57</v>
      </c>
      <c r="J6" s="3" t="n">
        <f aca="false">E6*G6</f>
        <v>1770.93</v>
      </c>
      <c r="K6" s="3" t="n">
        <f aca="false">E6*I6</f>
        <v>14420.43</v>
      </c>
      <c r="L6" s="0" t="str">
        <f aca="false">IF(G6&lt;=H6,"Reorder","OK")</f>
        <v>Reorder</v>
      </c>
    </row>
    <row r="7" customFormat="false" ht="15" hidden="false" customHeight="false" outlineLevel="0" collapsed="false">
      <c r="A7" s="0" t="n">
        <v>4006</v>
      </c>
      <c r="B7" s="0" t="s">
        <v>51</v>
      </c>
      <c r="C7" s="2" t="s">
        <v>2</v>
      </c>
      <c r="D7" s="2" t="s">
        <v>3</v>
      </c>
      <c r="E7" s="3" t="n">
        <v>159.88</v>
      </c>
      <c r="F7" s="3" t="n">
        <v>301.49</v>
      </c>
      <c r="G7" s="0" t="n">
        <v>5</v>
      </c>
      <c r="H7" s="0" t="n">
        <v>27</v>
      </c>
      <c r="I7" s="0" t="n">
        <v>74</v>
      </c>
      <c r="J7" s="3" t="n">
        <f aca="false">E7*G7</f>
        <v>799.4</v>
      </c>
      <c r="K7" s="3" t="n">
        <f aca="false">E7*I7</f>
        <v>11831.12</v>
      </c>
      <c r="L7" s="0" t="str">
        <f aca="false">IF(G7&lt;=H7,"Reorder","OK")</f>
        <v>Reorder</v>
      </c>
    </row>
    <row r="8" customFormat="false" ht="15" hidden="false" customHeight="false" outlineLevel="0" collapsed="false">
      <c r="A8" s="0" t="n">
        <v>4007</v>
      </c>
      <c r="B8" s="0" t="s">
        <v>52</v>
      </c>
      <c r="C8" s="2" t="s">
        <v>2</v>
      </c>
      <c r="D8" s="2" t="s">
        <v>3</v>
      </c>
      <c r="E8" s="3" t="n">
        <v>117.26</v>
      </c>
      <c r="F8" s="3" t="n">
        <v>162.59</v>
      </c>
      <c r="G8" s="0" t="n">
        <v>15</v>
      </c>
      <c r="H8" s="0" t="n">
        <v>28</v>
      </c>
      <c r="I8" s="0" t="n">
        <v>39</v>
      </c>
      <c r="J8" s="3" t="n">
        <f aca="false">E8*G8</f>
        <v>1758.9</v>
      </c>
      <c r="K8" s="3" t="n">
        <f aca="false">E8*I8</f>
        <v>4573.14</v>
      </c>
      <c r="L8" s="0" t="str">
        <f aca="false">IF(G8&lt;=H8,"Reorder","OK")</f>
        <v>Reorder</v>
      </c>
    </row>
    <row r="9" customFormat="false" ht="15" hidden="false" customHeight="false" outlineLevel="0" collapsed="false">
      <c r="A9" s="0" t="n">
        <v>4008</v>
      </c>
      <c r="B9" s="0" t="s">
        <v>53</v>
      </c>
      <c r="C9" s="2" t="s">
        <v>2</v>
      </c>
      <c r="D9" s="2" t="s">
        <v>3</v>
      </c>
      <c r="E9" s="3" t="n">
        <v>326.82</v>
      </c>
      <c r="F9" s="3" t="n">
        <v>460.3</v>
      </c>
      <c r="G9" s="0" t="n">
        <v>74</v>
      </c>
      <c r="H9" s="0" t="n">
        <v>28</v>
      </c>
      <c r="I9" s="0" t="n">
        <v>60</v>
      </c>
      <c r="J9" s="3" t="n">
        <f aca="false">E9*G9</f>
        <v>24184.68</v>
      </c>
      <c r="K9" s="3" t="n">
        <f aca="false">E9*I9</f>
        <v>19609.2</v>
      </c>
      <c r="L9" s="0" t="str">
        <f aca="false">IF(G9&lt;=H9,"Reorder","OK")</f>
        <v>OK</v>
      </c>
    </row>
    <row r="10" customFormat="false" ht="15" hidden="false" customHeight="false" outlineLevel="0" collapsed="false">
      <c r="A10" s="0" t="n">
        <v>4009</v>
      </c>
      <c r="B10" s="0" t="s">
        <v>54</v>
      </c>
      <c r="C10" s="2" t="s">
        <v>2</v>
      </c>
      <c r="D10" s="2" t="s">
        <v>3</v>
      </c>
      <c r="E10" s="3" t="n">
        <v>76.77</v>
      </c>
      <c r="F10" s="3" t="n">
        <v>104.29</v>
      </c>
      <c r="G10" s="0" t="n">
        <v>91</v>
      </c>
      <c r="H10" s="0" t="n">
        <v>12</v>
      </c>
      <c r="I10" s="0" t="n">
        <v>56</v>
      </c>
      <c r="J10" s="3" t="n">
        <f aca="false">E10*G10</f>
        <v>6986.07</v>
      </c>
      <c r="K10" s="3" t="n">
        <f aca="false">E10*I10</f>
        <v>4299.12</v>
      </c>
      <c r="L10" s="0" t="str">
        <f aca="false">IF(G10&lt;=H10,"Reorder","OK")</f>
        <v>OK</v>
      </c>
    </row>
    <row r="11" customFormat="false" ht="15" hidden="false" customHeight="false" outlineLevel="0" collapsed="false">
      <c r="A11" s="0" t="n">
        <v>4010</v>
      </c>
      <c r="B11" s="0" t="s">
        <v>55</v>
      </c>
      <c r="C11" s="2" t="s">
        <v>2</v>
      </c>
      <c r="D11" s="2" t="s">
        <v>3</v>
      </c>
      <c r="E11" s="3" t="n">
        <v>25.72</v>
      </c>
      <c r="F11" s="3" t="n">
        <v>36.61</v>
      </c>
      <c r="G11" s="0" t="n">
        <v>87</v>
      </c>
      <c r="H11" s="0" t="n">
        <v>27</v>
      </c>
      <c r="I11" s="0" t="n">
        <v>47</v>
      </c>
      <c r="J11" s="3" t="n">
        <f aca="false">E11*G11</f>
        <v>2237.64</v>
      </c>
      <c r="K11" s="3" t="n">
        <f aca="false">E11*I11</f>
        <v>1208.84</v>
      </c>
      <c r="L11" s="0" t="str">
        <f aca="false">IF(G11&lt;=H11,"Reorder","OK")</f>
        <v>OK</v>
      </c>
    </row>
    <row r="12" customFormat="false" ht="15" hidden="false" customHeight="false" outlineLevel="0" collapsed="false">
      <c r="A12" s="0" t="n">
        <v>4011</v>
      </c>
      <c r="B12" s="0" t="s">
        <v>56</v>
      </c>
      <c r="C12" s="2" t="s">
        <v>2</v>
      </c>
      <c r="D12" s="2" t="s">
        <v>3</v>
      </c>
      <c r="E12" s="3" t="n">
        <v>187.31</v>
      </c>
      <c r="F12" s="3" t="n">
        <v>347.28</v>
      </c>
      <c r="G12" s="0" t="n">
        <v>46</v>
      </c>
      <c r="H12" s="0" t="n">
        <v>19</v>
      </c>
      <c r="I12" s="0" t="n">
        <v>35</v>
      </c>
      <c r="J12" s="3" t="n">
        <f aca="false">E12*G12</f>
        <v>8616.26</v>
      </c>
      <c r="K12" s="3" t="n">
        <f aca="false">E12*I12</f>
        <v>6555.85</v>
      </c>
      <c r="L12" s="0" t="str">
        <f aca="false">IF(G12&lt;=H12,"Reorder","OK")</f>
        <v>OK</v>
      </c>
    </row>
    <row r="13" customFormat="false" ht="15" hidden="false" customHeight="false" outlineLevel="0" collapsed="false">
      <c r="A13" s="0" t="n">
        <v>4012</v>
      </c>
      <c r="B13" s="0" t="s">
        <v>57</v>
      </c>
      <c r="C13" s="2" t="s">
        <v>2</v>
      </c>
      <c r="D13" s="2" t="s">
        <v>3</v>
      </c>
      <c r="E13" s="3" t="n">
        <v>318.16</v>
      </c>
      <c r="F13" s="3" t="n">
        <v>547.04</v>
      </c>
      <c r="G13" s="0" t="n">
        <v>31</v>
      </c>
      <c r="H13" s="0" t="n">
        <v>12</v>
      </c>
      <c r="I13" s="0" t="n">
        <v>56</v>
      </c>
      <c r="J13" s="3" t="n">
        <f aca="false">E13*G13</f>
        <v>9862.96</v>
      </c>
      <c r="K13" s="3" t="n">
        <f aca="false">E13*I13</f>
        <v>17816.96</v>
      </c>
      <c r="L13" s="0" t="str">
        <f aca="false">IF(G13&lt;=H13,"Reorder","OK")</f>
        <v>OK</v>
      </c>
    </row>
    <row r="14" customFormat="false" ht="15" hidden="false" customHeight="false" outlineLevel="0" collapsed="false">
      <c r="A14" s="0" t="n">
        <v>4013</v>
      </c>
      <c r="B14" s="0" t="s">
        <v>58</v>
      </c>
      <c r="C14" s="2" t="s">
        <v>2</v>
      </c>
      <c r="D14" s="2" t="s">
        <v>3</v>
      </c>
      <c r="E14" s="3" t="n">
        <v>211.03</v>
      </c>
      <c r="F14" s="3" t="n">
        <v>385.15</v>
      </c>
      <c r="G14" s="0" t="n">
        <v>93</v>
      </c>
      <c r="H14" s="0" t="n">
        <v>24</v>
      </c>
      <c r="I14" s="0" t="n">
        <v>38</v>
      </c>
      <c r="J14" s="3" t="n">
        <f aca="false">E14*G14</f>
        <v>19625.79</v>
      </c>
      <c r="K14" s="3" t="n">
        <f aca="false">E14*I14</f>
        <v>8019.14</v>
      </c>
      <c r="L14" s="0" t="str">
        <f aca="false">IF(G14&lt;=H14,"Reorder","OK")</f>
        <v>OK</v>
      </c>
    </row>
    <row r="15" customFormat="false" ht="15" hidden="false" customHeight="false" outlineLevel="0" collapsed="false">
      <c r="A15" s="0" t="n">
        <v>4014</v>
      </c>
      <c r="B15" s="0" t="s">
        <v>59</v>
      </c>
      <c r="C15" s="2" t="s">
        <v>2</v>
      </c>
      <c r="D15" s="2" t="s">
        <v>3</v>
      </c>
      <c r="E15" s="3" t="n">
        <v>244.37</v>
      </c>
      <c r="F15" s="3" t="n">
        <v>328.41</v>
      </c>
      <c r="G15" s="0" t="n">
        <v>65</v>
      </c>
      <c r="H15" s="0" t="n">
        <v>23</v>
      </c>
      <c r="I15" s="0" t="n">
        <v>30</v>
      </c>
      <c r="J15" s="3" t="n">
        <f aca="false">E15*G15</f>
        <v>15884.05</v>
      </c>
      <c r="K15" s="3" t="n">
        <f aca="false">E15*I15</f>
        <v>7331.1</v>
      </c>
      <c r="L15" s="0" t="str">
        <f aca="false">IF(G15&lt;=H15,"Reorder","OK")</f>
        <v>OK</v>
      </c>
    </row>
    <row r="16" customFormat="false" ht="15" hidden="false" customHeight="false" outlineLevel="0" collapsed="false">
      <c r="A16" s="0" t="n">
        <v>4015</v>
      </c>
      <c r="B16" s="0" t="s">
        <v>60</v>
      </c>
      <c r="C16" s="2" t="s">
        <v>4</v>
      </c>
      <c r="D16" s="2" t="s">
        <v>5</v>
      </c>
      <c r="E16" s="3" t="n">
        <v>62.49</v>
      </c>
      <c r="F16" s="3" t="n">
        <v>99.57</v>
      </c>
      <c r="G16" s="0" t="n">
        <v>5</v>
      </c>
      <c r="H16" s="0" t="n">
        <v>40</v>
      </c>
      <c r="I16" s="0" t="n">
        <v>62</v>
      </c>
      <c r="J16" s="3" t="n">
        <f aca="false">E16*G16</f>
        <v>312.45</v>
      </c>
      <c r="K16" s="3" t="n">
        <f aca="false">E16*I16</f>
        <v>3874.38</v>
      </c>
      <c r="L16" s="0" t="str">
        <f aca="false">IF(G16&lt;=H16,"Reorder","OK")</f>
        <v>Reorder</v>
      </c>
    </row>
    <row r="17" customFormat="false" ht="15" hidden="false" customHeight="false" outlineLevel="0" collapsed="false">
      <c r="A17" s="0" t="n">
        <v>4016</v>
      </c>
      <c r="B17" s="0" t="s">
        <v>61</v>
      </c>
      <c r="C17" s="2" t="s">
        <v>4</v>
      </c>
      <c r="D17" s="2" t="s">
        <v>5</v>
      </c>
      <c r="E17" s="3" t="n">
        <v>32.89</v>
      </c>
      <c r="F17" s="3" t="n">
        <v>53.77</v>
      </c>
      <c r="G17" s="0" t="n">
        <v>101</v>
      </c>
      <c r="H17" s="0" t="n">
        <v>38</v>
      </c>
      <c r="I17" s="0" t="n">
        <v>72</v>
      </c>
      <c r="J17" s="3" t="n">
        <f aca="false">E17*G17</f>
        <v>3321.89</v>
      </c>
      <c r="K17" s="3" t="n">
        <f aca="false">E17*I17</f>
        <v>2368.08</v>
      </c>
      <c r="L17" s="0" t="str">
        <f aca="false">IF(G17&lt;=H17,"Reorder","OK")</f>
        <v>OK</v>
      </c>
    </row>
    <row r="18" customFormat="false" ht="15" hidden="false" customHeight="false" outlineLevel="0" collapsed="false">
      <c r="A18" s="0" t="n">
        <v>4017</v>
      </c>
      <c r="B18" s="0" t="s">
        <v>62</v>
      </c>
      <c r="C18" s="2" t="s">
        <v>4</v>
      </c>
      <c r="D18" s="2" t="s">
        <v>5</v>
      </c>
      <c r="E18" s="3" t="n">
        <v>137.37</v>
      </c>
      <c r="F18" s="3" t="n">
        <v>207.44</v>
      </c>
      <c r="G18" s="0" t="n">
        <v>63</v>
      </c>
      <c r="H18" s="0" t="n">
        <v>28</v>
      </c>
      <c r="I18" s="0" t="n">
        <v>71</v>
      </c>
      <c r="J18" s="3" t="n">
        <f aca="false">E18*G18</f>
        <v>8654.31</v>
      </c>
      <c r="K18" s="3" t="n">
        <f aca="false">E18*I18</f>
        <v>9753.27</v>
      </c>
      <c r="L18" s="0" t="str">
        <f aca="false">IF(G18&lt;=H18,"Reorder","OK")</f>
        <v>OK</v>
      </c>
    </row>
    <row r="19" customFormat="false" ht="15" hidden="false" customHeight="false" outlineLevel="0" collapsed="false">
      <c r="A19" s="0" t="n">
        <v>4018</v>
      </c>
      <c r="B19" s="0" t="s">
        <v>63</v>
      </c>
      <c r="C19" s="2" t="s">
        <v>4</v>
      </c>
      <c r="D19" s="2" t="s">
        <v>5</v>
      </c>
      <c r="E19" s="3" t="n">
        <v>183.57</v>
      </c>
      <c r="F19" s="3" t="n">
        <v>331.16</v>
      </c>
      <c r="G19" s="0" t="n">
        <v>120</v>
      </c>
      <c r="H19" s="0" t="n">
        <v>18</v>
      </c>
      <c r="I19" s="0" t="n">
        <v>50</v>
      </c>
      <c r="J19" s="3" t="n">
        <f aca="false">E19*G19</f>
        <v>22028.4</v>
      </c>
      <c r="K19" s="3" t="n">
        <f aca="false">E19*I19</f>
        <v>9178.5</v>
      </c>
      <c r="L19" s="0" t="str">
        <f aca="false">IF(G19&lt;=H19,"Reorder","OK")</f>
        <v>OK</v>
      </c>
    </row>
    <row r="20" customFormat="false" ht="15" hidden="false" customHeight="false" outlineLevel="0" collapsed="false">
      <c r="A20" s="0" t="n">
        <v>4019</v>
      </c>
      <c r="B20" s="0" t="s">
        <v>64</v>
      </c>
      <c r="C20" s="2" t="s">
        <v>4</v>
      </c>
      <c r="D20" s="2" t="s">
        <v>5</v>
      </c>
      <c r="E20" s="3" t="n">
        <v>266.33</v>
      </c>
      <c r="F20" s="3" t="n">
        <v>355.92</v>
      </c>
      <c r="G20" s="0" t="n">
        <v>89</v>
      </c>
      <c r="H20" s="0" t="n">
        <v>19</v>
      </c>
      <c r="I20" s="0" t="n">
        <v>61</v>
      </c>
      <c r="J20" s="3" t="n">
        <f aca="false">E20*G20</f>
        <v>23703.37</v>
      </c>
      <c r="K20" s="3" t="n">
        <f aca="false">E20*I20</f>
        <v>16246.13</v>
      </c>
      <c r="L20" s="0" t="str">
        <f aca="false">IF(G20&lt;=H20,"Reorder","OK")</f>
        <v>OK</v>
      </c>
    </row>
    <row r="21" customFormat="false" ht="15" hidden="false" customHeight="false" outlineLevel="0" collapsed="false">
      <c r="A21" s="0" t="n">
        <v>4020</v>
      </c>
      <c r="B21" s="0" t="s">
        <v>65</v>
      </c>
      <c r="C21" s="2" t="s">
        <v>4</v>
      </c>
      <c r="D21" s="2" t="s">
        <v>5</v>
      </c>
      <c r="E21" s="3" t="n">
        <v>232.02</v>
      </c>
      <c r="F21" s="3" t="n">
        <v>396.46</v>
      </c>
      <c r="G21" s="0" t="n">
        <v>57</v>
      </c>
      <c r="H21" s="0" t="n">
        <v>19</v>
      </c>
      <c r="I21" s="0" t="n">
        <v>65</v>
      </c>
      <c r="J21" s="3" t="n">
        <f aca="false">E21*G21</f>
        <v>13225.14</v>
      </c>
      <c r="K21" s="3" t="n">
        <f aca="false">E21*I21</f>
        <v>15081.3</v>
      </c>
      <c r="L21" s="0" t="str">
        <f aca="false">IF(G21&lt;=H21,"Reorder","OK")</f>
        <v>OK</v>
      </c>
    </row>
    <row r="22" customFormat="false" ht="15" hidden="false" customHeight="false" outlineLevel="0" collapsed="false">
      <c r="A22" s="0" t="n">
        <v>4021</v>
      </c>
      <c r="B22" s="0" t="s">
        <v>66</v>
      </c>
      <c r="C22" s="2" t="s">
        <v>4</v>
      </c>
      <c r="D22" s="2" t="s">
        <v>5</v>
      </c>
      <c r="E22" s="3" t="n">
        <v>155.54</v>
      </c>
      <c r="F22" s="3" t="n">
        <v>264.6</v>
      </c>
      <c r="G22" s="0" t="n">
        <v>2</v>
      </c>
      <c r="H22" s="0" t="n">
        <v>40</v>
      </c>
      <c r="I22" s="0" t="n">
        <v>49</v>
      </c>
      <c r="J22" s="3" t="n">
        <f aca="false">E22*G22</f>
        <v>311.08</v>
      </c>
      <c r="K22" s="3" t="n">
        <f aca="false">E22*I22</f>
        <v>7621.46</v>
      </c>
      <c r="L22" s="0" t="str">
        <f aca="false">IF(G22&lt;=H22,"Reorder","OK")</f>
        <v>Reorder</v>
      </c>
    </row>
    <row r="23" customFormat="false" ht="15" hidden="false" customHeight="false" outlineLevel="0" collapsed="false">
      <c r="A23" s="0" t="n">
        <v>4022</v>
      </c>
      <c r="B23" s="0" t="s">
        <v>67</v>
      </c>
      <c r="C23" s="2" t="s">
        <v>4</v>
      </c>
      <c r="D23" s="2" t="s">
        <v>5</v>
      </c>
      <c r="E23" s="3" t="n">
        <v>68.88</v>
      </c>
      <c r="F23" s="3" t="n">
        <v>94.38</v>
      </c>
      <c r="G23" s="0" t="n">
        <v>7</v>
      </c>
      <c r="H23" s="0" t="n">
        <v>16</v>
      </c>
      <c r="I23" s="0" t="n">
        <v>69</v>
      </c>
      <c r="J23" s="3" t="n">
        <f aca="false">E23*G23</f>
        <v>482.16</v>
      </c>
      <c r="K23" s="3" t="n">
        <f aca="false">E23*I23</f>
        <v>4752.72</v>
      </c>
      <c r="L23" s="0" t="str">
        <f aca="false">IF(G23&lt;=H23,"Reorder","OK")</f>
        <v>Reorder</v>
      </c>
    </row>
    <row r="24" customFormat="false" ht="15" hidden="false" customHeight="false" outlineLevel="0" collapsed="false">
      <c r="A24" s="0" t="n">
        <v>4023</v>
      </c>
      <c r="B24" s="0" t="s">
        <v>68</v>
      </c>
      <c r="C24" s="2" t="s">
        <v>4</v>
      </c>
      <c r="D24" s="2" t="s">
        <v>5</v>
      </c>
      <c r="E24" s="3" t="n">
        <v>116.4</v>
      </c>
      <c r="F24" s="3" t="n">
        <v>202.89</v>
      </c>
      <c r="G24" s="0" t="n">
        <v>50</v>
      </c>
      <c r="H24" s="0" t="n">
        <v>22</v>
      </c>
      <c r="I24" s="0" t="n">
        <v>78</v>
      </c>
      <c r="J24" s="3" t="n">
        <f aca="false">E24*G24</f>
        <v>5820</v>
      </c>
      <c r="K24" s="3" t="n">
        <f aca="false">E24*I24</f>
        <v>9079.2</v>
      </c>
      <c r="L24" s="0" t="str">
        <f aca="false">IF(G24&lt;=H24,"Reorder","OK")</f>
        <v>OK</v>
      </c>
    </row>
    <row r="25" customFormat="false" ht="15" hidden="false" customHeight="false" outlineLevel="0" collapsed="false">
      <c r="A25" s="0" t="n">
        <v>4024</v>
      </c>
      <c r="B25" s="0" t="s">
        <v>69</v>
      </c>
      <c r="C25" s="2" t="s">
        <v>4</v>
      </c>
      <c r="D25" s="2" t="s">
        <v>5</v>
      </c>
      <c r="E25" s="3" t="n">
        <v>34.07</v>
      </c>
      <c r="F25" s="3" t="n">
        <v>53.47</v>
      </c>
      <c r="G25" s="0" t="n">
        <v>70</v>
      </c>
      <c r="H25" s="0" t="n">
        <v>18</v>
      </c>
      <c r="I25" s="0" t="n">
        <v>76</v>
      </c>
      <c r="J25" s="3" t="n">
        <f aca="false">E25*G25</f>
        <v>2384.9</v>
      </c>
      <c r="K25" s="3" t="n">
        <f aca="false">E25*I25</f>
        <v>2589.32</v>
      </c>
      <c r="L25" s="0" t="str">
        <f aca="false">IF(G25&lt;=H25,"Reorder","OK")</f>
        <v>OK</v>
      </c>
    </row>
    <row r="26" customFormat="false" ht="15" hidden="false" customHeight="false" outlineLevel="0" collapsed="false">
      <c r="A26" s="0" t="n">
        <v>4025</v>
      </c>
      <c r="B26" s="0" t="s">
        <v>70</v>
      </c>
      <c r="C26" s="2" t="s">
        <v>4</v>
      </c>
      <c r="D26" s="2" t="s">
        <v>5</v>
      </c>
      <c r="E26" s="3" t="n">
        <v>56.5</v>
      </c>
      <c r="F26" s="3" t="n">
        <v>88.04</v>
      </c>
      <c r="G26" s="0" t="n">
        <v>70</v>
      </c>
      <c r="H26" s="0" t="n">
        <v>18</v>
      </c>
      <c r="I26" s="0" t="n">
        <v>65</v>
      </c>
      <c r="J26" s="3" t="n">
        <f aca="false">E26*G26</f>
        <v>3955</v>
      </c>
      <c r="K26" s="3" t="n">
        <f aca="false">E26*I26</f>
        <v>3672.5</v>
      </c>
      <c r="L26" s="0" t="str">
        <f aca="false">IF(G26&lt;=H26,"Reorder","OK")</f>
        <v>OK</v>
      </c>
    </row>
    <row r="27" customFormat="false" ht="15" hidden="false" customHeight="false" outlineLevel="0" collapsed="false">
      <c r="A27" s="0" t="n">
        <v>4026</v>
      </c>
      <c r="B27" s="0" t="s">
        <v>71</v>
      </c>
      <c r="C27" s="2" t="s">
        <v>4</v>
      </c>
      <c r="D27" s="2" t="s">
        <v>5</v>
      </c>
      <c r="E27" s="3" t="n">
        <v>394.61</v>
      </c>
      <c r="F27" s="3" t="n">
        <v>674.64</v>
      </c>
      <c r="G27" s="0" t="n">
        <v>48</v>
      </c>
      <c r="H27" s="0" t="n">
        <v>40</v>
      </c>
      <c r="I27" s="0" t="n">
        <v>34</v>
      </c>
      <c r="J27" s="3" t="n">
        <f aca="false">E27*G27</f>
        <v>18941.28</v>
      </c>
      <c r="K27" s="3" t="n">
        <f aca="false">E27*I27</f>
        <v>13416.74</v>
      </c>
      <c r="L27" s="0" t="str">
        <f aca="false">IF(G27&lt;=H27,"Reorder","OK")</f>
        <v>OK</v>
      </c>
    </row>
    <row r="28" customFormat="false" ht="15" hidden="false" customHeight="false" outlineLevel="0" collapsed="false">
      <c r="A28" s="0" t="n">
        <v>4027</v>
      </c>
      <c r="B28" s="0" t="s">
        <v>72</v>
      </c>
      <c r="C28" s="2" t="s">
        <v>4</v>
      </c>
      <c r="D28" s="2" t="s">
        <v>5</v>
      </c>
      <c r="E28" s="3" t="n">
        <v>62.07</v>
      </c>
      <c r="F28" s="3" t="n">
        <v>87.25</v>
      </c>
      <c r="G28" s="0" t="n">
        <v>29</v>
      </c>
      <c r="H28" s="0" t="n">
        <v>31</v>
      </c>
      <c r="I28" s="0" t="n">
        <v>34</v>
      </c>
      <c r="J28" s="3" t="n">
        <f aca="false">E28*G28</f>
        <v>1800.03</v>
      </c>
      <c r="K28" s="3" t="n">
        <f aca="false">E28*I28</f>
        <v>2110.38</v>
      </c>
      <c r="L28" s="0" t="str">
        <f aca="false">IF(G28&lt;=H28,"Reorder","OK")</f>
        <v>Reorder</v>
      </c>
    </row>
    <row r="29" customFormat="false" ht="15" hidden="false" customHeight="false" outlineLevel="0" collapsed="false">
      <c r="A29" s="0" t="n">
        <v>4028</v>
      </c>
      <c r="B29" s="0" t="s">
        <v>73</v>
      </c>
      <c r="C29" s="2" t="s">
        <v>6</v>
      </c>
      <c r="D29" s="2" t="s">
        <v>7</v>
      </c>
      <c r="E29" s="3" t="n">
        <v>195.02</v>
      </c>
      <c r="F29" s="3" t="n">
        <v>322.46</v>
      </c>
      <c r="G29" s="0" t="n">
        <v>33</v>
      </c>
      <c r="H29" s="0" t="n">
        <v>19</v>
      </c>
      <c r="I29" s="0" t="n">
        <v>20</v>
      </c>
      <c r="J29" s="3" t="n">
        <f aca="false">E29*G29</f>
        <v>6435.66</v>
      </c>
      <c r="K29" s="3" t="n">
        <f aca="false">E29*I29</f>
        <v>3900.4</v>
      </c>
      <c r="L29" s="0" t="str">
        <f aca="false">IF(G29&lt;=H29,"Reorder","OK")</f>
        <v>OK</v>
      </c>
    </row>
    <row r="30" customFormat="false" ht="15" hidden="false" customHeight="false" outlineLevel="0" collapsed="false">
      <c r="A30" s="0" t="n">
        <v>4029</v>
      </c>
      <c r="B30" s="0" t="s">
        <v>74</v>
      </c>
      <c r="C30" s="2" t="s">
        <v>6</v>
      </c>
      <c r="D30" s="2" t="s">
        <v>7</v>
      </c>
      <c r="E30" s="3" t="n">
        <v>168.74</v>
      </c>
      <c r="F30" s="3" t="n">
        <v>256.75</v>
      </c>
      <c r="G30" s="0" t="n">
        <v>72</v>
      </c>
      <c r="H30" s="0" t="n">
        <v>20</v>
      </c>
      <c r="I30" s="0" t="n">
        <v>80</v>
      </c>
      <c r="J30" s="3" t="n">
        <f aca="false">E30*G30</f>
        <v>12149.28</v>
      </c>
      <c r="K30" s="3" t="n">
        <f aca="false">E30*I30</f>
        <v>13499.2</v>
      </c>
      <c r="L30" s="0" t="str">
        <f aca="false">IF(G30&lt;=H30,"Reorder","OK")</f>
        <v>OK</v>
      </c>
    </row>
    <row r="31" customFormat="false" ht="15" hidden="false" customHeight="false" outlineLevel="0" collapsed="false">
      <c r="A31" s="0" t="n">
        <v>4030</v>
      </c>
      <c r="B31" s="0" t="s">
        <v>75</v>
      </c>
      <c r="C31" s="2" t="s">
        <v>6</v>
      </c>
      <c r="D31" s="2" t="s">
        <v>7</v>
      </c>
      <c r="E31" s="3" t="n">
        <v>276.82</v>
      </c>
      <c r="F31" s="3" t="n">
        <v>445.49</v>
      </c>
      <c r="G31" s="0" t="n">
        <v>79</v>
      </c>
      <c r="H31" s="0" t="n">
        <v>30</v>
      </c>
      <c r="I31" s="0" t="n">
        <v>63</v>
      </c>
      <c r="J31" s="3" t="n">
        <f aca="false">E31*G31</f>
        <v>21868.78</v>
      </c>
      <c r="K31" s="3" t="n">
        <f aca="false">E31*I31</f>
        <v>17439.66</v>
      </c>
      <c r="L31" s="0" t="str">
        <f aca="false">IF(G31&lt;=H31,"Reorder","OK")</f>
        <v>OK</v>
      </c>
    </row>
    <row r="32" customFormat="false" ht="15" hidden="false" customHeight="false" outlineLevel="0" collapsed="false">
      <c r="A32" s="0" t="n">
        <v>4031</v>
      </c>
      <c r="B32" s="0" t="s">
        <v>76</v>
      </c>
      <c r="C32" s="2" t="s">
        <v>6</v>
      </c>
      <c r="D32" s="2" t="s">
        <v>7</v>
      </c>
      <c r="E32" s="3" t="n">
        <v>23.49</v>
      </c>
      <c r="F32" s="3" t="n">
        <v>43.22</v>
      </c>
      <c r="G32" s="0" t="n">
        <v>99</v>
      </c>
      <c r="H32" s="0" t="n">
        <v>40</v>
      </c>
      <c r="I32" s="0" t="n">
        <v>75</v>
      </c>
      <c r="J32" s="3" t="n">
        <f aca="false">E32*G32</f>
        <v>2325.51</v>
      </c>
      <c r="K32" s="3" t="n">
        <f aca="false">E32*I32</f>
        <v>1761.75</v>
      </c>
      <c r="L32" s="0" t="str">
        <f aca="false">IF(G32&lt;=H32,"Reorder","OK")</f>
        <v>OK</v>
      </c>
    </row>
    <row r="33" customFormat="false" ht="15" hidden="false" customHeight="false" outlineLevel="0" collapsed="false">
      <c r="A33" s="0" t="n">
        <v>4032</v>
      </c>
      <c r="B33" s="0" t="s">
        <v>77</v>
      </c>
      <c r="C33" s="2" t="s">
        <v>6</v>
      </c>
      <c r="D33" s="2" t="s">
        <v>7</v>
      </c>
      <c r="E33" s="3" t="n">
        <v>272.87</v>
      </c>
      <c r="F33" s="3" t="n">
        <v>446.3</v>
      </c>
      <c r="G33" s="0" t="n">
        <v>50</v>
      </c>
      <c r="H33" s="0" t="n">
        <v>22</v>
      </c>
      <c r="I33" s="0" t="n">
        <v>45</v>
      </c>
      <c r="J33" s="3" t="n">
        <f aca="false">E33*G33</f>
        <v>13643.5</v>
      </c>
      <c r="K33" s="3" t="n">
        <f aca="false">E33*I33</f>
        <v>12279.15</v>
      </c>
      <c r="L33" s="0" t="str">
        <f aca="false">IF(G33&lt;=H33,"Reorder","OK")</f>
        <v>OK</v>
      </c>
    </row>
    <row r="34" customFormat="false" ht="15" hidden="false" customHeight="false" outlineLevel="0" collapsed="false">
      <c r="A34" s="0" t="n">
        <v>4033</v>
      </c>
      <c r="B34" s="0" t="s">
        <v>78</v>
      </c>
      <c r="C34" s="2" t="s">
        <v>6</v>
      </c>
      <c r="D34" s="2" t="s">
        <v>7</v>
      </c>
      <c r="E34" s="3" t="n">
        <v>43.21</v>
      </c>
      <c r="F34" s="3" t="n">
        <v>72.62</v>
      </c>
      <c r="G34" s="0" t="n">
        <v>7</v>
      </c>
      <c r="H34" s="0" t="n">
        <v>16</v>
      </c>
      <c r="I34" s="0" t="n">
        <v>24</v>
      </c>
      <c r="J34" s="3" t="n">
        <f aca="false">E34*G34</f>
        <v>302.47</v>
      </c>
      <c r="K34" s="3" t="n">
        <f aca="false">E34*I34</f>
        <v>1037.04</v>
      </c>
      <c r="L34" s="0" t="str">
        <f aca="false">IF(G34&lt;=H34,"Reorder","OK")</f>
        <v>Reorder</v>
      </c>
    </row>
    <row r="35" customFormat="false" ht="15" hidden="false" customHeight="false" outlineLevel="0" collapsed="false">
      <c r="A35" s="0" t="n">
        <v>4034</v>
      </c>
      <c r="B35" s="0" t="s">
        <v>79</v>
      </c>
      <c r="C35" s="2" t="s">
        <v>6</v>
      </c>
      <c r="D35" s="2" t="s">
        <v>7</v>
      </c>
      <c r="E35" s="3" t="n">
        <v>177.37</v>
      </c>
      <c r="F35" s="3" t="n">
        <v>242.28</v>
      </c>
      <c r="G35" s="0" t="n">
        <v>76</v>
      </c>
      <c r="H35" s="0" t="n">
        <v>11</v>
      </c>
      <c r="I35" s="0" t="n">
        <v>26</v>
      </c>
      <c r="J35" s="3" t="n">
        <f aca="false">E35*G35</f>
        <v>13480.12</v>
      </c>
      <c r="K35" s="3" t="n">
        <f aca="false">E35*I35</f>
        <v>4611.62</v>
      </c>
      <c r="L35" s="0" t="str">
        <f aca="false">IF(G35&lt;=H35,"Reorder","OK")</f>
        <v>OK</v>
      </c>
    </row>
    <row r="36" customFormat="false" ht="15" hidden="false" customHeight="false" outlineLevel="0" collapsed="false">
      <c r="A36" s="0" t="n">
        <v>4035</v>
      </c>
      <c r="B36" s="0" t="s">
        <v>80</v>
      </c>
      <c r="C36" s="2" t="s">
        <v>8</v>
      </c>
      <c r="D36" s="2" t="s">
        <v>9</v>
      </c>
      <c r="E36" s="3" t="n">
        <v>227.58</v>
      </c>
      <c r="F36" s="3" t="n">
        <v>369.13</v>
      </c>
      <c r="G36" s="0" t="n">
        <v>46</v>
      </c>
      <c r="H36" s="0" t="n">
        <v>29</v>
      </c>
      <c r="I36" s="0" t="n">
        <v>21</v>
      </c>
      <c r="J36" s="3" t="n">
        <f aca="false">E36*G36</f>
        <v>10468.68</v>
      </c>
      <c r="K36" s="3" t="n">
        <f aca="false">E36*I36</f>
        <v>4779.18</v>
      </c>
      <c r="L36" s="0" t="str">
        <f aca="false">IF(G36&lt;=H36,"Reorder","OK")</f>
        <v>OK</v>
      </c>
    </row>
    <row r="37" customFormat="false" ht="15" hidden="false" customHeight="false" outlineLevel="0" collapsed="false">
      <c r="A37" s="0" t="n">
        <v>4036</v>
      </c>
      <c r="B37" s="0" t="s">
        <v>81</v>
      </c>
      <c r="C37" s="2" t="s">
        <v>8</v>
      </c>
      <c r="D37" s="2" t="s">
        <v>9</v>
      </c>
      <c r="E37" s="3" t="n">
        <v>349.98</v>
      </c>
      <c r="F37" s="3" t="n">
        <v>583.92</v>
      </c>
      <c r="G37" s="0" t="n">
        <v>19</v>
      </c>
      <c r="H37" s="0" t="n">
        <v>30</v>
      </c>
      <c r="I37" s="0" t="n">
        <v>36</v>
      </c>
      <c r="J37" s="3" t="n">
        <f aca="false">E37*G37</f>
        <v>6649.62</v>
      </c>
      <c r="K37" s="3" t="n">
        <f aca="false">E37*I37</f>
        <v>12599.28</v>
      </c>
      <c r="L37" s="0" t="str">
        <f aca="false">IF(G37&lt;=H37,"Reorder","OK")</f>
        <v>Reorder</v>
      </c>
    </row>
    <row r="38" customFormat="false" ht="15" hidden="false" customHeight="false" outlineLevel="0" collapsed="false">
      <c r="A38" s="0" t="n">
        <v>4037</v>
      </c>
      <c r="B38" s="0" t="s">
        <v>82</v>
      </c>
      <c r="C38" s="2" t="s">
        <v>8</v>
      </c>
      <c r="D38" s="2" t="s">
        <v>9</v>
      </c>
      <c r="E38" s="3" t="n">
        <v>241.71</v>
      </c>
      <c r="F38" s="3" t="n">
        <v>382.99</v>
      </c>
      <c r="G38" s="0" t="n">
        <v>14</v>
      </c>
      <c r="H38" s="0" t="n">
        <v>37</v>
      </c>
      <c r="I38" s="0" t="n">
        <v>51</v>
      </c>
      <c r="J38" s="3" t="n">
        <f aca="false">E38*G38</f>
        <v>3383.94</v>
      </c>
      <c r="K38" s="3" t="n">
        <f aca="false">E38*I38</f>
        <v>12327.21</v>
      </c>
      <c r="L38" s="0" t="str">
        <f aca="false">IF(G38&lt;=H38,"Reorder","OK")</f>
        <v>Reorder</v>
      </c>
    </row>
    <row r="39" customFormat="false" ht="15" hidden="false" customHeight="false" outlineLevel="0" collapsed="false">
      <c r="A39" s="0" t="n">
        <v>4038</v>
      </c>
      <c r="B39" s="0" t="s">
        <v>83</v>
      </c>
      <c r="C39" s="2" t="s">
        <v>8</v>
      </c>
      <c r="D39" s="2" t="s">
        <v>9</v>
      </c>
      <c r="E39" s="3" t="n">
        <v>397.25</v>
      </c>
      <c r="F39" s="3" t="n">
        <v>627.49</v>
      </c>
      <c r="G39" s="0" t="n">
        <v>61</v>
      </c>
      <c r="H39" s="0" t="n">
        <v>19</v>
      </c>
      <c r="I39" s="0" t="n">
        <v>25</v>
      </c>
      <c r="J39" s="3" t="n">
        <f aca="false">E39*G39</f>
        <v>24232.25</v>
      </c>
      <c r="K39" s="3" t="n">
        <f aca="false">E39*I39</f>
        <v>9931.25</v>
      </c>
      <c r="L39" s="0" t="str">
        <f aca="false">IF(G39&lt;=H39,"Reorder","OK")</f>
        <v>OK</v>
      </c>
    </row>
    <row r="40" customFormat="false" ht="15" hidden="false" customHeight="false" outlineLevel="0" collapsed="false">
      <c r="A40" s="0" t="n">
        <v>4039</v>
      </c>
      <c r="B40" s="0" t="s">
        <v>84</v>
      </c>
      <c r="C40" s="2" t="s">
        <v>8</v>
      </c>
      <c r="D40" s="2" t="s">
        <v>9</v>
      </c>
      <c r="E40" s="3" t="n">
        <v>42.67</v>
      </c>
      <c r="F40" s="3" t="n">
        <v>64.24</v>
      </c>
      <c r="G40" s="0" t="n">
        <v>33</v>
      </c>
      <c r="H40" s="0" t="n">
        <v>25</v>
      </c>
      <c r="I40" s="0" t="n">
        <v>73</v>
      </c>
      <c r="J40" s="3" t="n">
        <f aca="false">E40*G40</f>
        <v>1408.11</v>
      </c>
      <c r="K40" s="3" t="n">
        <f aca="false">E40*I40</f>
        <v>3114.91</v>
      </c>
      <c r="L40" s="0" t="str">
        <f aca="false">IF(G40&lt;=H40,"Reorder","OK")</f>
        <v>OK</v>
      </c>
    </row>
    <row r="41" customFormat="false" ht="15" hidden="false" customHeight="false" outlineLevel="0" collapsed="false">
      <c r="A41" s="0" t="n">
        <v>4040</v>
      </c>
      <c r="B41" s="0" t="s">
        <v>85</v>
      </c>
      <c r="C41" s="2" t="s">
        <v>10</v>
      </c>
      <c r="D41" s="2" t="s">
        <v>11</v>
      </c>
      <c r="E41" s="3" t="n">
        <v>66.25</v>
      </c>
      <c r="F41" s="3" t="n">
        <v>87.04</v>
      </c>
      <c r="G41" s="0" t="n">
        <v>67</v>
      </c>
      <c r="H41" s="0" t="n">
        <v>21</v>
      </c>
      <c r="I41" s="0" t="n">
        <v>29</v>
      </c>
      <c r="J41" s="3" t="n">
        <f aca="false">E41*G41</f>
        <v>4438.75</v>
      </c>
      <c r="K41" s="3" t="n">
        <f aca="false">E41*I41</f>
        <v>1921.25</v>
      </c>
      <c r="L41" s="0" t="str">
        <f aca="false">IF(G41&lt;=H41,"Reorder","OK")</f>
        <v>OK</v>
      </c>
    </row>
    <row r="42" customFormat="false" ht="15" hidden="false" customHeight="false" outlineLevel="0" collapsed="false">
      <c r="A42" s="0" t="n">
        <v>4041</v>
      </c>
      <c r="B42" s="0" t="s">
        <v>86</v>
      </c>
      <c r="C42" s="2" t="s">
        <v>10</v>
      </c>
      <c r="D42" s="2" t="s">
        <v>11</v>
      </c>
      <c r="E42" s="3" t="n">
        <v>276.65</v>
      </c>
      <c r="F42" s="3" t="n">
        <v>511.38</v>
      </c>
      <c r="G42" s="0" t="n">
        <v>97</v>
      </c>
      <c r="H42" s="0" t="n">
        <v>26</v>
      </c>
      <c r="I42" s="0" t="n">
        <v>39</v>
      </c>
      <c r="J42" s="3" t="n">
        <f aca="false">E42*G42</f>
        <v>26835.05</v>
      </c>
      <c r="K42" s="3" t="n">
        <f aca="false">E42*I42</f>
        <v>10789.35</v>
      </c>
      <c r="L42" s="0" t="str">
        <f aca="false">IF(G42&lt;=H42,"Reorder","OK")</f>
        <v>OK</v>
      </c>
    </row>
    <row r="43" customFormat="false" ht="15" hidden="false" customHeight="false" outlineLevel="0" collapsed="false">
      <c r="A43" s="0" t="n">
        <v>4042</v>
      </c>
      <c r="B43" s="0" t="s">
        <v>87</v>
      </c>
      <c r="C43" s="2" t="s">
        <v>10</v>
      </c>
      <c r="D43" s="2" t="s">
        <v>11</v>
      </c>
      <c r="E43" s="3" t="n">
        <v>391.44</v>
      </c>
      <c r="F43" s="3" t="n">
        <v>711.64</v>
      </c>
      <c r="G43" s="0" t="n">
        <v>89</v>
      </c>
      <c r="H43" s="0" t="n">
        <v>37</v>
      </c>
      <c r="I43" s="0" t="n">
        <v>36</v>
      </c>
      <c r="J43" s="3" t="n">
        <f aca="false">E43*G43</f>
        <v>34838.16</v>
      </c>
      <c r="K43" s="3" t="n">
        <f aca="false">E43*I43</f>
        <v>14091.84</v>
      </c>
      <c r="L43" s="0" t="str">
        <f aca="false">IF(G43&lt;=H43,"Reorder","OK")</f>
        <v>OK</v>
      </c>
    </row>
    <row r="44" customFormat="false" ht="15" hidden="false" customHeight="false" outlineLevel="0" collapsed="false">
      <c r="A44" s="0" t="n">
        <v>4043</v>
      </c>
      <c r="B44" s="0" t="s">
        <v>88</v>
      </c>
      <c r="C44" s="2" t="s">
        <v>10</v>
      </c>
      <c r="D44" s="2" t="s">
        <v>11</v>
      </c>
      <c r="E44" s="3" t="n">
        <v>147.95</v>
      </c>
      <c r="F44" s="3" t="n">
        <v>207.16</v>
      </c>
      <c r="G44" s="0" t="n">
        <v>98</v>
      </c>
      <c r="H44" s="0" t="n">
        <v>17</v>
      </c>
      <c r="I44" s="0" t="n">
        <v>54</v>
      </c>
      <c r="J44" s="3" t="n">
        <f aca="false">E44*G44</f>
        <v>14499.1</v>
      </c>
      <c r="K44" s="3" t="n">
        <f aca="false">E44*I44</f>
        <v>7989.3</v>
      </c>
      <c r="L44" s="0" t="str">
        <f aca="false">IF(G44&lt;=H44,"Reorder","OK")</f>
        <v>OK</v>
      </c>
    </row>
    <row r="45" customFormat="false" ht="15" hidden="false" customHeight="false" outlineLevel="0" collapsed="false">
      <c r="A45" s="0" t="n">
        <v>4044</v>
      </c>
      <c r="B45" s="0" t="s">
        <v>89</v>
      </c>
      <c r="C45" s="2" t="s">
        <v>10</v>
      </c>
      <c r="D45" s="2" t="s">
        <v>11</v>
      </c>
      <c r="E45" s="3" t="n">
        <v>217.54</v>
      </c>
      <c r="F45" s="3" t="n">
        <v>348.42</v>
      </c>
      <c r="G45" s="0" t="n">
        <v>81</v>
      </c>
      <c r="H45" s="0" t="n">
        <v>17</v>
      </c>
      <c r="I45" s="0" t="n">
        <v>59</v>
      </c>
      <c r="J45" s="3" t="n">
        <f aca="false">E45*G45</f>
        <v>17620.74</v>
      </c>
      <c r="K45" s="3" t="n">
        <f aca="false">E45*I45</f>
        <v>12834.86</v>
      </c>
      <c r="L45" s="0" t="str">
        <f aca="false">IF(G45&lt;=H45,"Reorder","OK")</f>
        <v>OK</v>
      </c>
    </row>
    <row r="46" customFormat="false" ht="15" hidden="false" customHeight="false" outlineLevel="0" collapsed="false">
      <c r="A46" s="0" t="n">
        <v>4045</v>
      </c>
      <c r="B46" s="0" t="s">
        <v>90</v>
      </c>
      <c r="C46" s="2" t="s">
        <v>10</v>
      </c>
      <c r="D46" s="2" t="s">
        <v>11</v>
      </c>
      <c r="E46" s="3" t="n">
        <v>324.98</v>
      </c>
      <c r="F46" s="3" t="n">
        <v>614.52</v>
      </c>
      <c r="G46" s="0" t="n">
        <v>109</v>
      </c>
      <c r="H46" s="0" t="n">
        <v>16</v>
      </c>
      <c r="I46" s="0" t="n">
        <v>71</v>
      </c>
      <c r="J46" s="3" t="n">
        <f aca="false">E46*G46</f>
        <v>35422.82</v>
      </c>
      <c r="K46" s="3" t="n">
        <f aca="false">E46*I46</f>
        <v>23073.58</v>
      </c>
      <c r="L46" s="0" t="str">
        <f aca="false">IF(G46&lt;=H46,"Reorder","OK")</f>
        <v>OK</v>
      </c>
    </row>
    <row r="47" customFormat="false" ht="15" hidden="false" customHeight="false" outlineLevel="0" collapsed="false">
      <c r="A47" s="0" t="n">
        <v>4046</v>
      </c>
      <c r="B47" s="0" t="s">
        <v>91</v>
      </c>
      <c r="C47" s="2" t="s">
        <v>10</v>
      </c>
      <c r="D47" s="2" t="s">
        <v>11</v>
      </c>
      <c r="E47" s="3" t="n">
        <v>327.7</v>
      </c>
      <c r="F47" s="3" t="n">
        <v>571.48</v>
      </c>
      <c r="G47" s="0" t="n">
        <v>29</v>
      </c>
      <c r="H47" s="0" t="n">
        <v>16</v>
      </c>
      <c r="I47" s="0" t="n">
        <v>53</v>
      </c>
      <c r="J47" s="3" t="n">
        <f aca="false">E47*G47</f>
        <v>9503.3</v>
      </c>
      <c r="K47" s="3" t="n">
        <f aca="false">E47*I47</f>
        <v>17368.1</v>
      </c>
      <c r="L47" s="0" t="str">
        <f aca="false">IF(G47&lt;=H47,"Reorder","OK")</f>
        <v>OK</v>
      </c>
    </row>
    <row r="48" customFormat="false" ht="15" hidden="false" customHeight="false" outlineLevel="0" collapsed="false">
      <c r="A48" s="0" t="n">
        <v>4047</v>
      </c>
      <c r="B48" s="0" t="s">
        <v>92</v>
      </c>
      <c r="C48" s="2" t="s">
        <v>10</v>
      </c>
      <c r="D48" s="2" t="s">
        <v>11</v>
      </c>
      <c r="E48" s="3" t="n">
        <v>143.51</v>
      </c>
      <c r="F48" s="3" t="n">
        <v>189.06</v>
      </c>
      <c r="G48" s="0" t="n">
        <v>3</v>
      </c>
      <c r="H48" s="0" t="n">
        <v>35</v>
      </c>
      <c r="I48" s="0" t="n">
        <v>37</v>
      </c>
      <c r="J48" s="3" t="n">
        <f aca="false">E48*G48</f>
        <v>430.53</v>
      </c>
      <c r="K48" s="3" t="n">
        <f aca="false">E48*I48</f>
        <v>5309.87</v>
      </c>
      <c r="L48" s="0" t="str">
        <f aca="false">IF(G48&lt;=H48,"Reorder","OK")</f>
        <v>Reorder</v>
      </c>
    </row>
    <row r="49" customFormat="false" ht="15" hidden="false" customHeight="false" outlineLevel="0" collapsed="false">
      <c r="A49" s="0" t="n">
        <v>4048</v>
      </c>
      <c r="B49" s="0" t="s">
        <v>93</v>
      </c>
      <c r="C49" s="2" t="s">
        <v>10</v>
      </c>
      <c r="D49" s="2" t="s">
        <v>11</v>
      </c>
      <c r="E49" s="3" t="n">
        <v>189.95</v>
      </c>
      <c r="F49" s="3" t="n">
        <v>269</v>
      </c>
      <c r="G49" s="0" t="n">
        <v>77</v>
      </c>
      <c r="H49" s="0" t="n">
        <v>40</v>
      </c>
      <c r="I49" s="0" t="n">
        <v>42</v>
      </c>
      <c r="J49" s="3" t="n">
        <f aca="false">E49*G49</f>
        <v>14626.15</v>
      </c>
      <c r="K49" s="3" t="n">
        <f aca="false">E49*I49</f>
        <v>7977.9</v>
      </c>
      <c r="L49" s="0" t="str">
        <f aca="false">IF(G49&lt;=H49,"Reorder","OK")</f>
        <v>OK</v>
      </c>
    </row>
    <row r="50" customFormat="false" ht="15" hidden="false" customHeight="false" outlineLevel="0" collapsed="false">
      <c r="A50" s="0" t="n">
        <v>4049</v>
      </c>
      <c r="B50" s="0" t="s">
        <v>94</v>
      </c>
      <c r="C50" s="2" t="s">
        <v>12</v>
      </c>
      <c r="D50" s="2" t="s">
        <v>13</v>
      </c>
      <c r="E50" s="3" t="n">
        <v>323.81</v>
      </c>
      <c r="F50" s="3" t="n">
        <v>561.45</v>
      </c>
      <c r="G50" s="0" t="n">
        <v>44</v>
      </c>
      <c r="H50" s="0" t="n">
        <v>40</v>
      </c>
      <c r="I50" s="0" t="n">
        <v>43</v>
      </c>
      <c r="J50" s="3" t="n">
        <f aca="false">E50*G50</f>
        <v>14247.64</v>
      </c>
      <c r="K50" s="3" t="n">
        <f aca="false">E50*I50</f>
        <v>13923.83</v>
      </c>
      <c r="L50" s="0" t="str">
        <f aca="false">IF(G50&lt;=H50,"Reorder","OK")</f>
        <v>OK</v>
      </c>
    </row>
    <row r="51" customFormat="false" ht="15" hidden="false" customHeight="false" outlineLevel="0" collapsed="false">
      <c r="A51" s="0" t="n">
        <v>4050</v>
      </c>
      <c r="B51" s="0" t="s">
        <v>95</v>
      </c>
      <c r="C51" s="2" t="s">
        <v>12</v>
      </c>
      <c r="D51" s="2" t="s">
        <v>13</v>
      </c>
      <c r="E51" s="3" t="n">
        <v>34.05</v>
      </c>
      <c r="F51" s="3" t="n">
        <v>46.35</v>
      </c>
      <c r="G51" s="0" t="n">
        <v>60</v>
      </c>
      <c r="H51" s="0" t="n">
        <v>16</v>
      </c>
      <c r="I51" s="0" t="n">
        <v>41</v>
      </c>
      <c r="J51" s="3" t="n">
        <f aca="false">E51*G51</f>
        <v>2043</v>
      </c>
      <c r="K51" s="3" t="n">
        <f aca="false">E51*I51</f>
        <v>1396.05</v>
      </c>
      <c r="L51" s="0" t="str">
        <f aca="false">IF(G51&lt;=H51,"Reorder","OK")</f>
        <v>OK</v>
      </c>
    </row>
    <row r="52" customFormat="false" ht="15" hidden="false" customHeight="false" outlineLevel="0" collapsed="false">
      <c r="A52" s="0" t="n">
        <v>4051</v>
      </c>
      <c r="B52" s="0" t="s">
        <v>96</v>
      </c>
      <c r="C52" s="2" t="s">
        <v>12</v>
      </c>
      <c r="D52" s="2" t="s">
        <v>13</v>
      </c>
      <c r="E52" s="3" t="n">
        <v>194.1</v>
      </c>
      <c r="F52" s="3" t="n">
        <v>367.07</v>
      </c>
      <c r="G52" s="0" t="n">
        <v>78</v>
      </c>
      <c r="H52" s="0" t="n">
        <v>36</v>
      </c>
      <c r="I52" s="0" t="n">
        <v>20</v>
      </c>
      <c r="J52" s="3" t="n">
        <f aca="false">E52*G52</f>
        <v>15139.8</v>
      </c>
      <c r="K52" s="3" t="n">
        <f aca="false">E52*I52</f>
        <v>3882</v>
      </c>
      <c r="L52" s="0" t="str">
        <f aca="false">IF(G52&lt;=H52,"Reorder","OK")</f>
        <v>OK</v>
      </c>
    </row>
    <row r="53" customFormat="false" ht="15" hidden="false" customHeight="false" outlineLevel="0" collapsed="false">
      <c r="A53" s="0" t="n">
        <v>4052</v>
      </c>
      <c r="B53" s="0" t="s">
        <v>97</v>
      </c>
      <c r="C53" s="2" t="s">
        <v>12</v>
      </c>
      <c r="D53" s="2" t="s">
        <v>13</v>
      </c>
      <c r="E53" s="3" t="n">
        <v>363.86</v>
      </c>
      <c r="F53" s="3" t="n">
        <v>548.12</v>
      </c>
      <c r="G53" s="0" t="n">
        <v>82</v>
      </c>
      <c r="H53" s="0" t="n">
        <v>12</v>
      </c>
      <c r="I53" s="0" t="n">
        <v>73</v>
      </c>
      <c r="J53" s="3" t="n">
        <f aca="false">E53*G53</f>
        <v>29836.52</v>
      </c>
      <c r="K53" s="3" t="n">
        <f aca="false">E53*I53</f>
        <v>26561.78</v>
      </c>
      <c r="L53" s="0" t="str">
        <f aca="false">IF(G53&lt;=H53,"Reorder","OK")</f>
        <v>OK</v>
      </c>
    </row>
    <row r="54" customFormat="false" ht="15" hidden="false" customHeight="false" outlineLevel="0" collapsed="false">
      <c r="A54" s="0" t="n">
        <v>4053</v>
      </c>
      <c r="B54" s="0" t="s">
        <v>98</v>
      </c>
      <c r="C54" s="2" t="s">
        <v>12</v>
      </c>
      <c r="D54" s="2" t="s">
        <v>13</v>
      </c>
      <c r="E54" s="3" t="n">
        <v>264.91</v>
      </c>
      <c r="F54" s="3" t="n">
        <v>488.99</v>
      </c>
      <c r="G54" s="0" t="n">
        <v>100</v>
      </c>
      <c r="H54" s="0" t="n">
        <v>32</v>
      </c>
      <c r="I54" s="0" t="n">
        <v>68</v>
      </c>
      <c r="J54" s="3" t="n">
        <f aca="false">E54*G54</f>
        <v>26491</v>
      </c>
      <c r="K54" s="3" t="n">
        <f aca="false">E54*I54</f>
        <v>18013.88</v>
      </c>
      <c r="L54" s="0" t="str">
        <f aca="false">IF(G54&lt;=H54,"Reorder","OK")</f>
        <v>OK</v>
      </c>
    </row>
    <row r="55" customFormat="false" ht="15" hidden="false" customHeight="false" outlineLevel="0" collapsed="false">
      <c r="A55" s="0" t="n">
        <v>4054</v>
      </c>
      <c r="B55" s="0" t="s">
        <v>99</v>
      </c>
      <c r="C55" s="2" t="s">
        <v>12</v>
      </c>
      <c r="D55" s="2" t="s">
        <v>13</v>
      </c>
      <c r="E55" s="3" t="n">
        <v>192.26</v>
      </c>
      <c r="F55" s="3" t="n">
        <v>270.53</v>
      </c>
      <c r="G55" s="0" t="n">
        <v>101</v>
      </c>
      <c r="H55" s="0" t="n">
        <v>30</v>
      </c>
      <c r="I55" s="0" t="n">
        <v>41</v>
      </c>
      <c r="J55" s="3" t="n">
        <f aca="false">E55*G55</f>
        <v>19418.26</v>
      </c>
      <c r="K55" s="3" t="n">
        <f aca="false">E55*I55</f>
        <v>7882.66</v>
      </c>
      <c r="L55" s="0" t="str">
        <f aca="false">IF(G55&lt;=H55,"Reorder","OK")</f>
        <v>OK</v>
      </c>
    </row>
  </sheetData>
  <dataValidations count="2">
    <dataValidation allowBlank="false" errorStyle="stop" operator="between" showDropDown="false" showErrorMessage="false" showInputMessage="false" sqref="C2:C55" type="list">
      <formula1>Lists!$A$2:$A$7</formula1>
      <formula2>0</formula2>
    </dataValidation>
    <dataValidation allowBlank="false" errorStyle="stop" operator="between" showDropDown="false" showErrorMessage="false" showInputMessage="false" sqref="D2:D55" type="list">
      <formula1>Lists!$B$2:$B$7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15" hidden="false" customHeight="false" outlineLevel="0" collapsed="false">
      <c r="A1" s="1" t="s">
        <v>100</v>
      </c>
      <c r="B1" s="1" t="s">
        <v>101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102</v>
      </c>
      <c r="H1" s="1" t="s">
        <v>38</v>
      </c>
      <c r="I1" s="1" t="s">
        <v>103</v>
      </c>
      <c r="J1" s="1" t="s">
        <v>104</v>
      </c>
    </row>
    <row r="2" customFormat="false" ht="15" hidden="false" customHeight="false" outlineLevel="0" collapsed="false">
      <c r="A2" s="0" t="n">
        <v>6001</v>
      </c>
      <c r="B2" s="4" t="n">
        <v>46291</v>
      </c>
      <c r="C2" s="0" t="n">
        <v>4047</v>
      </c>
      <c r="D2" s="0" t="str">
        <f aca="false">IFERROR(INDEX(InventoryData[ItemName],MATCH(C2,InventoryData[ItemID],0)),"Not found")</f>
        <v>Packing Tape v1</v>
      </c>
      <c r="E2" s="0" t="str">
        <f aca="false">IFERROR(INDEX(InventoryData[Category],MATCH(C2,InventoryData[ItemID],0)),"")</f>
        <v>Packaging</v>
      </c>
      <c r="F2" s="0" t="str">
        <f aca="false">IFERROR(INDEX(InventoryData[Supplier],MATCH(C2,InventoryData[ItemID],0)),"")</f>
        <v>Shannon Packaging Ltd</v>
      </c>
      <c r="G2" s="0" t="n">
        <v>35</v>
      </c>
      <c r="H2" s="3" t="n">
        <f aca="false">IFERROR(INDEX(InventoryData[UnitCost],MATCH(C2,InventoryData[ItemID],0)),0)</f>
        <v>143.51</v>
      </c>
      <c r="I2" s="3" t="n">
        <f aca="false">G2*H2</f>
        <v>5022.85</v>
      </c>
      <c r="J2" s="0" t="str">
        <f aca="false">TEXT(B2,"mmm-yyyy")</f>
        <v>Sep-2026</v>
      </c>
    </row>
    <row r="3" customFormat="false" ht="15" hidden="false" customHeight="false" outlineLevel="0" collapsed="false">
      <c r="A3" s="0" t="n">
        <v>6002</v>
      </c>
      <c r="B3" s="4" t="n">
        <v>46186</v>
      </c>
      <c r="C3" s="0" t="n">
        <v>4048</v>
      </c>
      <c r="D3" s="0" t="str">
        <f aca="false">IFERROR(INDEX(InventoryData[ItemName],MATCH(C3,InventoryData[ItemID],0)),"Not found")</f>
        <v>Packing Tape v2</v>
      </c>
      <c r="E3" s="0" t="str">
        <f aca="false">IFERROR(INDEX(InventoryData[Category],MATCH(C3,InventoryData[ItemID],0)),"")</f>
        <v>Packaging</v>
      </c>
      <c r="F3" s="0" t="str">
        <f aca="false">IFERROR(INDEX(InventoryData[Supplier],MATCH(C3,InventoryData[ItemID],0)),"")</f>
        <v>Shannon Packaging Ltd</v>
      </c>
      <c r="G3" s="0" t="n">
        <v>15</v>
      </c>
      <c r="H3" s="3" t="n">
        <f aca="false">IFERROR(INDEX(InventoryData[UnitCost],MATCH(C3,InventoryData[ItemID],0)),0)</f>
        <v>189.95</v>
      </c>
      <c r="I3" s="3" t="n">
        <f aca="false">G3*H3</f>
        <v>2849.25</v>
      </c>
      <c r="J3" s="0" t="str">
        <f aca="false">TEXT(B3,"mmm-yyyy")</f>
        <v>Jun-2026</v>
      </c>
    </row>
    <row r="4" customFormat="false" ht="15" hidden="false" customHeight="false" outlineLevel="0" collapsed="false">
      <c r="A4" s="0" t="n">
        <v>6003</v>
      </c>
      <c r="B4" s="4" t="n">
        <v>46118</v>
      </c>
      <c r="C4" s="0" t="n">
        <v>4011</v>
      </c>
      <c r="D4" s="0" t="str">
        <f aca="false">IFERROR(INDEX(InventoryData[ItemName],MATCH(C4,InventoryData[ItemID],0)),"Not found")</f>
        <v>Webcam v1</v>
      </c>
      <c r="E4" s="0" t="str">
        <f aca="false">IFERROR(INDEX(InventoryData[Category],MATCH(C4,InventoryData[ItemID],0)),"")</f>
        <v>Electronics</v>
      </c>
      <c r="F4" s="0" t="str">
        <f aca="false">IFERROR(INDEX(InventoryData[Supplier],MATCH(C4,InventoryData[ItemID],0)),"")</f>
        <v>Dublin Tech Distributors</v>
      </c>
      <c r="G4" s="0" t="n">
        <v>18</v>
      </c>
      <c r="H4" s="3" t="n">
        <f aca="false">IFERROR(INDEX(InventoryData[UnitCost],MATCH(C4,InventoryData[ItemID],0)),0)</f>
        <v>187.31</v>
      </c>
      <c r="I4" s="3" t="n">
        <f aca="false">G4*H4</f>
        <v>3371.58</v>
      </c>
      <c r="J4" s="0" t="str">
        <f aca="false">TEXT(B4,"mmm-yyyy")</f>
        <v>Apr-2026</v>
      </c>
    </row>
    <row r="5" customFormat="false" ht="15" hidden="false" customHeight="false" outlineLevel="0" collapsed="false">
      <c r="A5" s="0" t="n">
        <v>6004</v>
      </c>
      <c r="B5" s="4" t="n">
        <v>46270</v>
      </c>
      <c r="C5" s="0" t="n">
        <v>4038</v>
      </c>
      <c r="D5" s="0" t="str">
        <f aca="false">IFERROR(INDEX(InventoryData[ItemName],MATCH(C5,InventoryData[ItemID],0)),"Not found")</f>
        <v>Design Tool License v2</v>
      </c>
      <c r="E5" s="0" t="str">
        <f aca="false">IFERROR(INDEX(InventoryData[Category],MATCH(C5,InventoryData[ItemID],0)),"")</f>
        <v>Software</v>
      </c>
      <c r="F5" s="0" t="str">
        <f aca="false">IFERROR(INDEX(InventoryData[Supplier],MATCH(C5,InventoryData[ItemID],0)),"")</f>
        <v>CloudSoft Licensing</v>
      </c>
      <c r="G5" s="0" t="n">
        <v>39</v>
      </c>
      <c r="H5" s="3" t="n">
        <f aca="false">IFERROR(INDEX(InventoryData[UnitCost],MATCH(C5,InventoryData[ItemID],0)),0)</f>
        <v>397.25</v>
      </c>
      <c r="I5" s="3" t="n">
        <f aca="false">G5*H5</f>
        <v>15492.75</v>
      </c>
      <c r="J5" s="0" t="str">
        <f aca="false">TEXT(B5,"mmm-yyyy")</f>
        <v>Sep-2026</v>
      </c>
    </row>
    <row r="6" customFormat="false" ht="15" hidden="false" customHeight="false" outlineLevel="0" collapsed="false">
      <c r="A6" s="0" t="n">
        <v>6005</v>
      </c>
      <c r="B6" s="4" t="n">
        <v>46117</v>
      </c>
      <c r="C6" s="0" t="n">
        <v>4040</v>
      </c>
      <c r="D6" s="0" t="str">
        <f aca="false">IFERROR(INDEX(InventoryData[ItemName],MATCH(C6,InventoryData[ItemID],0)),"Not found")</f>
        <v>Shipping Box (Small) v1</v>
      </c>
      <c r="E6" s="0" t="str">
        <f aca="false">IFERROR(INDEX(InventoryData[Category],MATCH(C6,InventoryData[ItemID],0)),"")</f>
        <v>Packaging</v>
      </c>
      <c r="F6" s="0" t="str">
        <f aca="false">IFERROR(INDEX(InventoryData[Supplier],MATCH(C6,InventoryData[ItemID],0)),"")</f>
        <v>Shannon Packaging Ltd</v>
      </c>
      <c r="G6" s="0" t="n">
        <v>48</v>
      </c>
      <c r="H6" s="3" t="n">
        <f aca="false">IFERROR(INDEX(InventoryData[UnitCost],MATCH(C6,InventoryData[ItemID],0)),0)</f>
        <v>66.25</v>
      </c>
      <c r="I6" s="3" t="n">
        <f aca="false">G6*H6</f>
        <v>3180</v>
      </c>
      <c r="J6" s="0" t="str">
        <f aca="false">TEXT(B6,"mmm-yyyy")</f>
        <v>Apr-2026</v>
      </c>
    </row>
    <row r="7" customFormat="false" ht="15" hidden="false" customHeight="false" outlineLevel="0" collapsed="false">
      <c r="A7" s="0" t="n">
        <v>6006</v>
      </c>
      <c r="B7" s="4" t="n">
        <v>46195</v>
      </c>
      <c r="C7" s="0" t="n">
        <v>4023</v>
      </c>
      <c r="D7" s="0" t="str">
        <f aca="false">IFERROR(INDEX(InventoryData[ItemName],MATCH(C7,InventoryData[ItemID],0)),"Not found")</f>
        <v>Pen Pack v2</v>
      </c>
      <c r="E7" s="0" t="str">
        <f aca="false">IFERROR(INDEX(InventoryData[Category],MATCH(C7,InventoryData[ItemID],0)),"")</f>
        <v>Office Supplies</v>
      </c>
      <c r="F7" s="0" t="str">
        <f aca="false">IFERROR(INDEX(InventoryData[Supplier],MATCH(C7,InventoryData[ItemID],0)),"")</f>
        <v>Leinster Office Supplies</v>
      </c>
      <c r="G7" s="0" t="n">
        <v>19</v>
      </c>
      <c r="H7" s="3" t="n">
        <f aca="false">IFERROR(INDEX(InventoryData[UnitCost],MATCH(C7,InventoryData[ItemID],0)),0)</f>
        <v>116.4</v>
      </c>
      <c r="I7" s="3" t="n">
        <f aca="false">G7*H7</f>
        <v>2211.6</v>
      </c>
      <c r="J7" s="0" t="str">
        <f aca="false">TEXT(B7,"mmm-yyyy")</f>
        <v>Jun-2026</v>
      </c>
    </row>
    <row r="8" customFormat="false" ht="15" hidden="false" customHeight="false" outlineLevel="0" collapsed="false">
      <c r="A8" s="0" t="n">
        <v>6007</v>
      </c>
      <c r="B8" s="4" t="n">
        <v>46160</v>
      </c>
      <c r="C8" s="0" t="n">
        <v>4009</v>
      </c>
      <c r="D8" s="0" t="str">
        <f aca="false">IFERROR(INDEX(InventoryData[ItemName],MATCH(C8,InventoryData[ItemID],0)),"Not found")</f>
        <v>Headset v2</v>
      </c>
      <c r="E8" s="0" t="str">
        <f aca="false">IFERROR(INDEX(InventoryData[Category],MATCH(C8,InventoryData[ItemID],0)),"")</f>
        <v>Electronics</v>
      </c>
      <c r="F8" s="0" t="str">
        <f aca="false">IFERROR(INDEX(InventoryData[Supplier],MATCH(C8,InventoryData[ItemID],0)),"")</f>
        <v>Dublin Tech Distributors</v>
      </c>
      <c r="G8" s="0" t="n">
        <v>11</v>
      </c>
      <c r="H8" s="3" t="n">
        <f aca="false">IFERROR(INDEX(InventoryData[UnitCost],MATCH(C8,InventoryData[ItemID],0)),0)</f>
        <v>76.77</v>
      </c>
      <c r="I8" s="3" t="n">
        <f aca="false">G8*H8</f>
        <v>844.47</v>
      </c>
      <c r="J8" s="0" t="str">
        <f aca="false">TEXT(B8,"mmm-yyyy")</f>
        <v>May-2026</v>
      </c>
    </row>
    <row r="9" customFormat="false" ht="15" hidden="false" customHeight="false" outlineLevel="0" collapsed="false">
      <c r="A9" s="0" t="n">
        <v>6008</v>
      </c>
      <c r="B9" s="4" t="n">
        <v>46291</v>
      </c>
      <c r="C9" s="0" t="n">
        <v>4047</v>
      </c>
      <c r="D9" s="0" t="str">
        <f aca="false">IFERROR(INDEX(InventoryData[ItemName],MATCH(C9,InventoryData[ItemID],0)),"Not found")</f>
        <v>Packing Tape v1</v>
      </c>
      <c r="E9" s="0" t="str">
        <f aca="false">IFERROR(INDEX(InventoryData[Category],MATCH(C9,InventoryData[ItemID],0)),"")</f>
        <v>Packaging</v>
      </c>
      <c r="F9" s="0" t="str">
        <f aca="false">IFERROR(INDEX(InventoryData[Supplier],MATCH(C9,InventoryData[ItemID],0)),"")</f>
        <v>Shannon Packaging Ltd</v>
      </c>
      <c r="G9" s="0" t="n">
        <v>51</v>
      </c>
      <c r="H9" s="3" t="n">
        <f aca="false">IFERROR(INDEX(InventoryData[UnitCost],MATCH(C9,InventoryData[ItemID],0)),0)</f>
        <v>143.51</v>
      </c>
      <c r="I9" s="3" t="n">
        <f aca="false">G9*H9</f>
        <v>7319.01</v>
      </c>
      <c r="J9" s="0" t="str">
        <f aca="false">TEXT(B9,"mmm-yyyy")</f>
        <v>Sep-2026</v>
      </c>
    </row>
    <row r="10" customFormat="false" ht="15" hidden="false" customHeight="false" outlineLevel="0" collapsed="false">
      <c r="A10" s="0" t="n">
        <v>6009</v>
      </c>
      <c r="B10" s="4" t="n">
        <v>46282</v>
      </c>
      <c r="C10" s="0" t="n">
        <v>4048</v>
      </c>
      <c r="D10" s="0" t="str">
        <f aca="false">IFERROR(INDEX(InventoryData[ItemName],MATCH(C10,InventoryData[ItemID],0)),"Not found")</f>
        <v>Packing Tape v2</v>
      </c>
      <c r="E10" s="0" t="str">
        <f aca="false">IFERROR(INDEX(InventoryData[Category],MATCH(C10,InventoryData[ItemID],0)),"")</f>
        <v>Packaging</v>
      </c>
      <c r="F10" s="0" t="str">
        <f aca="false">IFERROR(INDEX(InventoryData[Supplier],MATCH(C10,InventoryData[ItemID],0)),"")</f>
        <v>Shannon Packaging Ltd</v>
      </c>
      <c r="G10" s="0" t="n">
        <v>18</v>
      </c>
      <c r="H10" s="3" t="n">
        <f aca="false">IFERROR(INDEX(InventoryData[UnitCost],MATCH(C10,InventoryData[ItemID],0)),0)</f>
        <v>189.95</v>
      </c>
      <c r="I10" s="3" t="n">
        <f aca="false">G10*H10</f>
        <v>3419.1</v>
      </c>
      <c r="J10" s="0" t="str">
        <f aca="false">TEXT(B10,"mmm-yyyy")</f>
        <v>Sep-2026</v>
      </c>
    </row>
    <row r="11" customFormat="false" ht="15" hidden="false" customHeight="false" outlineLevel="0" collapsed="false">
      <c r="A11" s="0" t="n">
        <v>6010</v>
      </c>
      <c r="B11" s="4" t="n">
        <v>46201</v>
      </c>
      <c r="C11" s="0" t="n">
        <v>4013</v>
      </c>
      <c r="D11" s="0" t="str">
        <f aca="false">IFERROR(INDEX(InventoryData[ItemName],MATCH(C11,InventoryData[ItemID],0)),"Not found")</f>
        <v>USB Hub v1</v>
      </c>
      <c r="E11" s="0" t="str">
        <f aca="false">IFERROR(INDEX(InventoryData[Category],MATCH(C11,InventoryData[ItemID],0)),"")</f>
        <v>Electronics</v>
      </c>
      <c r="F11" s="0" t="str">
        <f aca="false">IFERROR(INDEX(InventoryData[Supplier],MATCH(C11,InventoryData[ItemID],0)),"")</f>
        <v>Dublin Tech Distributors</v>
      </c>
      <c r="G11" s="0" t="n">
        <v>23</v>
      </c>
      <c r="H11" s="3" t="n">
        <f aca="false">IFERROR(INDEX(InventoryData[UnitCost],MATCH(C11,InventoryData[ItemID],0)),0)</f>
        <v>211.03</v>
      </c>
      <c r="I11" s="3" t="n">
        <f aca="false">G11*H11</f>
        <v>4853.69</v>
      </c>
      <c r="J11" s="0" t="str">
        <f aca="false">TEXT(B11,"mmm-yyyy")</f>
        <v>Jun-2026</v>
      </c>
    </row>
    <row r="12" customFormat="false" ht="15" hidden="false" customHeight="false" outlineLevel="0" collapsed="false">
      <c r="A12" s="0" t="n">
        <v>6011</v>
      </c>
      <c r="B12" s="4" t="n">
        <v>46274</v>
      </c>
      <c r="C12" s="0" t="n">
        <v>4014</v>
      </c>
      <c r="D12" s="0" t="str">
        <f aca="false">IFERROR(INDEX(InventoryData[ItemName],MATCH(C12,InventoryData[ItemID],0)),"Not found")</f>
        <v>USB Hub v2</v>
      </c>
      <c r="E12" s="0" t="str">
        <f aca="false">IFERROR(INDEX(InventoryData[Category],MATCH(C12,InventoryData[ItemID],0)),"")</f>
        <v>Electronics</v>
      </c>
      <c r="F12" s="0" t="str">
        <f aca="false">IFERROR(INDEX(InventoryData[Supplier],MATCH(C12,InventoryData[ItemID],0)),"")</f>
        <v>Dublin Tech Distributors</v>
      </c>
      <c r="G12" s="0" t="n">
        <v>28</v>
      </c>
      <c r="H12" s="3" t="n">
        <f aca="false">IFERROR(INDEX(InventoryData[UnitCost],MATCH(C12,InventoryData[ItemID],0)),0)</f>
        <v>244.37</v>
      </c>
      <c r="I12" s="3" t="n">
        <f aca="false">G12*H12</f>
        <v>6842.36</v>
      </c>
      <c r="J12" s="0" t="str">
        <f aca="false">TEXT(B12,"mmm-yyyy")</f>
        <v>Sep-2026</v>
      </c>
    </row>
    <row r="13" customFormat="false" ht="15" hidden="false" customHeight="false" outlineLevel="0" collapsed="false">
      <c r="A13" s="0" t="n">
        <v>6012</v>
      </c>
      <c r="B13" s="4" t="n">
        <v>46150</v>
      </c>
      <c r="C13" s="0" t="n">
        <v>4049</v>
      </c>
      <c r="D13" s="0" t="str">
        <f aca="false">IFERROR(INDEX(InventoryData[ItemName],MATCH(C13,InventoryData[ItemID],0)),"Not found")</f>
        <v>Disinfectant Spray v1</v>
      </c>
      <c r="E13" s="0" t="str">
        <f aca="false">IFERROR(INDEX(InventoryData[Category],MATCH(C13,InventoryData[ItemID],0)),"")</f>
        <v>Cleaning Supplies</v>
      </c>
      <c r="F13" s="0" t="str">
        <f aca="false">IFERROR(INDEX(InventoryData[Supplier],MATCH(C13,InventoryData[ItemID],0)),"")</f>
        <v>GreenClean Wholesale</v>
      </c>
      <c r="G13" s="0" t="n">
        <v>47</v>
      </c>
      <c r="H13" s="3" t="n">
        <f aca="false">IFERROR(INDEX(InventoryData[UnitCost],MATCH(C13,InventoryData[ItemID],0)),0)</f>
        <v>323.81</v>
      </c>
      <c r="I13" s="3" t="n">
        <f aca="false">G13*H13</f>
        <v>15219.07</v>
      </c>
      <c r="J13" s="0" t="str">
        <f aca="false">TEXT(B13,"mmm-yyyy")</f>
        <v>May-2026</v>
      </c>
    </row>
    <row r="14" customFormat="false" ht="15" hidden="false" customHeight="false" outlineLevel="0" collapsed="false">
      <c r="A14" s="0" t="n">
        <v>6013</v>
      </c>
      <c r="B14" s="4" t="n">
        <v>46212</v>
      </c>
      <c r="C14" s="0" t="n">
        <v>4035</v>
      </c>
      <c r="D14" s="0" t="str">
        <f aca="false">IFERROR(INDEX(InventoryData[ItemName],MATCH(C14,InventoryData[ItemID],0)),"Not found")</f>
        <v>Office Suite License v1</v>
      </c>
      <c r="E14" s="0" t="str">
        <f aca="false">IFERROR(INDEX(InventoryData[Category],MATCH(C14,InventoryData[ItemID],0)),"")</f>
        <v>Software</v>
      </c>
      <c r="F14" s="0" t="str">
        <f aca="false">IFERROR(INDEX(InventoryData[Supplier],MATCH(C14,InventoryData[ItemID],0)),"")</f>
        <v>CloudSoft Licensing</v>
      </c>
      <c r="G14" s="0" t="n">
        <v>36</v>
      </c>
      <c r="H14" s="3" t="n">
        <f aca="false">IFERROR(INDEX(InventoryData[UnitCost],MATCH(C14,InventoryData[ItemID],0)),0)</f>
        <v>227.58</v>
      </c>
      <c r="I14" s="3" t="n">
        <f aca="false">G14*H14</f>
        <v>8192.88</v>
      </c>
      <c r="J14" s="0" t="str">
        <f aca="false">TEXT(B14,"mmm-yyyy")</f>
        <v>Jul-2026</v>
      </c>
    </row>
    <row r="15" customFormat="false" ht="15" hidden="false" customHeight="false" outlineLevel="0" collapsed="false">
      <c r="A15" s="0" t="n">
        <v>6014</v>
      </c>
      <c r="B15" s="4" t="n">
        <v>46236</v>
      </c>
      <c r="C15" s="0" t="n">
        <v>4048</v>
      </c>
      <c r="D15" s="0" t="str">
        <f aca="false">IFERROR(INDEX(InventoryData[ItemName],MATCH(C15,InventoryData[ItemID],0)),"Not found")</f>
        <v>Packing Tape v2</v>
      </c>
      <c r="E15" s="0" t="str">
        <f aca="false">IFERROR(INDEX(InventoryData[Category],MATCH(C15,InventoryData[ItemID],0)),"")</f>
        <v>Packaging</v>
      </c>
      <c r="F15" s="0" t="str">
        <f aca="false">IFERROR(INDEX(InventoryData[Supplier],MATCH(C15,InventoryData[ItemID],0)),"")</f>
        <v>Shannon Packaging Ltd</v>
      </c>
      <c r="G15" s="0" t="n">
        <v>32</v>
      </c>
      <c r="H15" s="3" t="n">
        <f aca="false">IFERROR(INDEX(InventoryData[UnitCost],MATCH(C15,InventoryData[ItemID],0)),0)</f>
        <v>189.95</v>
      </c>
      <c r="I15" s="3" t="n">
        <f aca="false">G15*H15</f>
        <v>6078.4</v>
      </c>
      <c r="J15" s="0" t="str">
        <f aca="false">TEXT(B15,"mmm-yyyy")</f>
        <v>Aug-2026</v>
      </c>
    </row>
    <row r="16" customFormat="false" ht="15" hidden="false" customHeight="false" outlineLevel="0" collapsed="false">
      <c r="A16" s="0" t="n">
        <v>6015</v>
      </c>
      <c r="B16" s="4" t="n">
        <v>46195</v>
      </c>
      <c r="C16" s="0" t="n">
        <v>4038</v>
      </c>
      <c r="D16" s="0" t="str">
        <f aca="false">IFERROR(INDEX(InventoryData[ItemName],MATCH(C16,InventoryData[ItemID],0)),"Not found")</f>
        <v>Design Tool License v2</v>
      </c>
      <c r="E16" s="0" t="str">
        <f aca="false">IFERROR(INDEX(InventoryData[Category],MATCH(C16,InventoryData[ItemID],0)),"")</f>
        <v>Software</v>
      </c>
      <c r="F16" s="0" t="str">
        <f aca="false">IFERROR(INDEX(InventoryData[Supplier],MATCH(C16,InventoryData[ItemID],0)),"")</f>
        <v>CloudSoft Licensing</v>
      </c>
      <c r="G16" s="0" t="n">
        <v>43</v>
      </c>
      <c r="H16" s="3" t="n">
        <f aca="false">IFERROR(INDEX(InventoryData[UnitCost],MATCH(C16,InventoryData[ItemID],0)),0)</f>
        <v>397.25</v>
      </c>
      <c r="I16" s="3" t="n">
        <f aca="false">G16*H16</f>
        <v>17081.75</v>
      </c>
      <c r="J16" s="0" t="str">
        <f aca="false">TEXT(B16,"mmm-yyyy")</f>
        <v>Jun-2026</v>
      </c>
    </row>
    <row r="17" customFormat="false" ht="15" hidden="false" customHeight="false" outlineLevel="0" collapsed="false">
      <c r="A17" s="0" t="n">
        <v>6016</v>
      </c>
      <c r="B17" s="4" t="n">
        <v>46200</v>
      </c>
      <c r="C17" s="0" t="n">
        <v>4033</v>
      </c>
      <c r="D17" s="0" t="str">
        <f aca="false">IFERROR(INDEX(InventoryData[ItemName],MATCH(C17,InventoryData[ItemID],0)),"Not found")</f>
        <v>Bookshelf v3</v>
      </c>
      <c r="E17" s="0" t="str">
        <f aca="false">IFERROR(INDEX(InventoryData[Category],MATCH(C17,InventoryData[ItemID],0)),"")</f>
        <v>Furniture</v>
      </c>
      <c r="F17" s="0" t="str">
        <f aca="false">IFERROR(INDEX(InventoryData[Supplier],MATCH(C17,InventoryData[ItemID],0)),"")</f>
        <v>Emerald Furniture Co.</v>
      </c>
      <c r="G17" s="0" t="n">
        <v>18</v>
      </c>
      <c r="H17" s="3" t="n">
        <f aca="false">IFERROR(INDEX(InventoryData[UnitCost],MATCH(C17,InventoryData[ItemID],0)),0)</f>
        <v>43.21</v>
      </c>
      <c r="I17" s="3" t="n">
        <f aca="false">G17*H17</f>
        <v>777.78</v>
      </c>
      <c r="J17" s="0" t="str">
        <f aca="false">TEXT(B17,"mmm-yyyy")</f>
        <v>Jun-2026</v>
      </c>
    </row>
    <row r="18" customFormat="false" ht="15" hidden="false" customHeight="false" outlineLevel="0" collapsed="false">
      <c r="A18" s="0" t="n">
        <v>6017</v>
      </c>
      <c r="B18" s="4" t="n">
        <v>46147</v>
      </c>
      <c r="C18" s="0" t="n">
        <v>4034</v>
      </c>
      <c r="D18" s="0" t="str">
        <f aca="false">IFERROR(INDEX(InventoryData[ItemName],MATCH(C18,InventoryData[ItemID],0)),"Not found")</f>
        <v>Whiteboard v1</v>
      </c>
      <c r="E18" s="0" t="str">
        <f aca="false">IFERROR(INDEX(InventoryData[Category],MATCH(C18,InventoryData[ItemID],0)),"")</f>
        <v>Furniture</v>
      </c>
      <c r="F18" s="0" t="str">
        <f aca="false">IFERROR(INDEX(InventoryData[Supplier],MATCH(C18,InventoryData[ItemID],0)),"")</f>
        <v>Emerald Furniture Co.</v>
      </c>
      <c r="G18" s="0" t="n">
        <v>42</v>
      </c>
      <c r="H18" s="3" t="n">
        <f aca="false">IFERROR(INDEX(InventoryData[UnitCost],MATCH(C18,InventoryData[ItemID],0)),0)</f>
        <v>177.37</v>
      </c>
      <c r="I18" s="3" t="n">
        <f aca="false">G18*H18</f>
        <v>7449.54</v>
      </c>
      <c r="J18" s="0" t="str">
        <f aca="false">TEXT(B18,"mmm-yyyy")</f>
        <v>May-2026</v>
      </c>
    </row>
    <row r="19" customFormat="false" ht="15" hidden="false" customHeight="false" outlineLevel="0" collapsed="false">
      <c r="A19" s="0" t="n">
        <v>6018</v>
      </c>
      <c r="B19" s="4" t="n">
        <v>46293</v>
      </c>
      <c r="C19" s="0" t="n">
        <v>4029</v>
      </c>
      <c r="D19" s="0" t="str">
        <f aca="false">IFERROR(INDEX(InventoryData[ItemName],MATCH(C19,InventoryData[ItemID],0)),"Not found")</f>
        <v>Ergonomic Chair v1</v>
      </c>
      <c r="E19" s="0" t="str">
        <f aca="false">IFERROR(INDEX(InventoryData[Category],MATCH(C19,InventoryData[ItemID],0)),"")</f>
        <v>Furniture</v>
      </c>
      <c r="F19" s="0" t="str">
        <f aca="false">IFERROR(INDEX(InventoryData[Supplier],MATCH(C19,InventoryData[ItemID],0)),"")</f>
        <v>Emerald Furniture Co.</v>
      </c>
      <c r="G19" s="0" t="n">
        <v>59</v>
      </c>
      <c r="H19" s="3" t="n">
        <f aca="false">IFERROR(INDEX(InventoryData[UnitCost],MATCH(C19,InventoryData[ItemID],0)),0)</f>
        <v>168.74</v>
      </c>
      <c r="I19" s="3" t="n">
        <f aca="false">G19*H19</f>
        <v>9955.66</v>
      </c>
      <c r="J19" s="0" t="str">
        <f aca="false">TEXT(B19,"mmm-yyyy")</f>
        <v>Sep-2026</v>
      </c>
    </row>
    <row r="20" customFormat="false" ht="15" hidden="false" customHeight="false" outlineLevel="0" collapsed="false">
      <c r="A20" s="0" t="n">
        <v>6019</v>
      </c>
      <c r="B20" s="4" t="n">
        <v>46254</v>
      </c>
      <c r="C20" s="0" t="n">
        <v>4001</v>
      </c>
      <c r="D20" s="0" t="str">
        <f aca="false">IFERROR(INDEX(InventoryData[ItemName],MATCH(C20,InventoryData[ItemID],0)),"Not found")</f>
        <v>Laptop v1</v>
      </c>
      <c r="E20" s="0" t="str">
        <f aca="false">IFERROR(INDEX(InventoryData[Category],MATCH(C20,InventoryData[ItemID],0)),"")</f>
        <v>Electronics</v>
      </c>
      <c r="F20" s="0" t="str">
        <f aca="false">IFERROR(INDEX(InventoryData[Supplier],MATCH(C20,InventoryData[ItemID],0)),"")</f>
        <v>Dublin Tech Distributors</v>
      </c>
      <c r="G20" s="0" t="n">
        <v>59</v>
      </c>
      <c r="H20" s="3" t="n">
        <f aca="false">IFERROR(INDEX(InventoryData[UnitCost],MATCH(C20,InventoryData[ItemID],0)),0)</f>
        <v>379.25</v>
      </c>
      <c r="I20" s="3" t="n">
        <f aca="false">G20*H20</f>
        <v>22375.75</v>
      </c>
      <c r="J20" s="0" t="str">
        <f aca="false">TEXT(B20,"mmm-yyyy")</f>
        <v>Aug-2026</v>
      </c>
    </row>
    <row r="21" customFormat="false" ht="15" hidden="false" customHeight="false" outlineLevel="0" collapsed="false">
      <c r="A21" s="0" t="n">
        <v>6020</v>
      </c>
      <c r="B21" s="4" t="n">
        <v>46240</v>
      </c>
      <c r="C21" s="0" t="n">
        <v>4010</v>
      </c>
      <c r="D21" s="0" t="str">
        <f aca="false">IFERROR(INDEX(InventoryData[ItemName],MATCH(C21,InventoryData[ItemID],0)),"Not found")</f>
        <v>Headset v3</v>
      </c>
      <c r="E21" s="0" t="str">
        <f aca="false">IFERROR(INDEX(InventoryData[Category],MATCH(C21,InventoryData[ItemID],0)),"")</f>
        <v>Electronics</v>
      </c>
      <c r="F21" s="0" t="str">
        <f aca="false">IFERROR(INDEX(InventoryData[Supplier],MATCH(C21,InventoryData[ItemID],0)),"")</f>
        <v>Dublin Tech Distributors</v>
      </c>
      <c r="G21" s="0" t="n">
        <v>40</v>
      </c>
      <c r="H21" s="3" t="n">
        <f aca="false">IFERROR(INDEX(InventoryData[UnitCost],MATCH(C21,InventoryData[ItemID],0)),0)</f>
        <v>25.72</v>
      </c>
      <c r="I21" s="3" t="n">
        <f aca="false">G21*H21</f>
        <v>1028.8</v>
      </c>
      <c r="J21" s="0" t="str">
        <f aca="false">TEXT(B21,"mmm-yyyy")</f>
        <v>Aug-2026</v>
      </c>
    </row>
    <row r="22" customFormat="false" ht="15" hidden="false" customHeight="false" outlineLevel="0" collapsed="false">
      <c r="A22" s="0" t="n">
        <v>6021</v>
      </c>
      <c r="B22" s="4" t="n">
        <v>46166</v>
      </c>
      <c r="C22" s="0" t="n">
        <v>4008</v>
      </c>
      <c r="D22" s="0" t="str">
        <f aca="false">IFERROR(INDEX(InventoryData[ItemName],MATCH(C22,InventoryData[ItemID],0)),"Not found")</f>
        <v>Headset v1</v>
      </c>
      <c r="E22" s="0" t="str">
        <f aca="false">IFERROR(INDEX(InventoryData[Category],MATCH(C22,InventoryData[ItemID],0)),"")</f>
        <v>Electronics</v>
      </c>
      <c r="F22" s="0" t="str">
        <f aca="false">IFERROR(INDEX(InventoryData[Supplier],MATCH(C22,InventoryData[ItemID],0)),"")</f>
        <v>Dublin Tech Distributors</v>
      </c>
      <c r="G22" s="0" t="n">
        <v>45</v>
      </c>
      <c r="H22" s="3" t="n">
        <f aca="false">IFERROR(INDEX(InventoryData[UnitCost],MATCH(C22,InventoryData[ItemID],0)),0)</f>
        <v>326.82</v>
      </c>
      <c r="I22" s="3" t="n">
        <f aca="false">G22*H22</f>
        <v>14706.9</v>
      </c>
      <c r="J22" s="0" t="str">
        <f aca="false">TEXT(B22,"mmm-yyyy")</f>
        <v>May-2026</v>
      </c>
    </row>
    <row r="23" customFormat="false" ht="15" hidden="false" customHeight="false" outlineLevel="0" collapsed="false">
      <c r="A23" s="0" t="n">
        <v>6022</v>
      </c>
      <c r="B23" s="4" t="n">
        <v>46276</v>
      </c>
      <c r="C23" s="0" t="n">
        <v>4044</v>
      </c>
      <c r="D23" s="0" t="str">
        <f aca="false">IFERROR(INDEX(InventoryData[ItemName],MATCH(C23,InventoryData[ItemID],0)),"Not found")</f>
        <v>Shipping Box (Large) v2</v>
      </c>
      <c r="E23" s="0" t="str">
        <f aca="false">IFERROR(INDEX(InventoryData[Category],MATCH(C23,InventoryData[ItemID],0)),"")</f>
        <v>Packaging</v>
      </c>
      <c r="F23" s="0" t="str">
        <f aca="false">IFERROR(INDEX(InventoryData[Supplier],MATCH(C23,InventoryData[ItemID],0)),"")</f>
        <v>Shannon Packaging Ltd</v>
      </c>
      <c r="G23" s="0" t="n">
        <v>43</v>
      </c>
      <c r="H23" s="3" t="n">
        <f aca="false">IFERROR(INDEX(InventoryData[UnitCost],MATCH(C23,InventoryData[ItemID],0)),0)</f>
        <v>217.54</v>
      </c>
      <c r="I23" s="3" t="n">
        <f aca="false">G23*H23</f>
        <v>9354.22</v>
      </c>
      <c r="J23" s="0" t="str">
        <f aca="false">TEXT(B23,"mmm-yyyy")</f>
        <v>Sep-2026</v>
      </c>
    </row>
    <row r="24" customFormat="false" ht="15" hidden="false" customHeight="false" outlineLevel="0" collapsed="false">
      <c r="A24" s="0" t="n">
        <v>6023</v>
      </c>
      <c r="B24" s="4" t="n">
        <v>46160</v>
      </c>
      <c r="C24" s="0" t="n">
        <v>4031</v>
      </c>
      <c r="D24" s="0" t="str">
        <f aca="false">IFERROR(INDEX(InventoryData[ItemName],MATCH(C24,InventoryData[ItemID],0)),"Not found")</f>
        <v>Bookshelf v1</v>
      </c>
      <c r="E24" s="0" t="str">
        <f aca="false">IFERROR(INDEX(InventoryData[Category],MATCH(C24,InventoryData[ItemID],0)),"")</f>
        <v>Furniture</v>
      </c>
      <c r="F24" s="0" t="str">
        <f aca="false">IFERROR(INDEX(InventoryData[Supplier],MATCH(C24,InventoryData[ItemID],0)),"")</f>
        <v>Emerald Furniture Co.</v>
      </c>
      <c r="G24" s="0" t="n">
        <v>60</v>
      </c>
      <c r="H24" s="3" t="n">
        <f aca="false">IFERROR(INDEX(InventoryData[UnitCost],MATCH(C24,InventoryData[ItemID],0)),0)</f>
        <v>23.49</v>
      </c>
      <c r="I24" s="3" t="n">
        <f aca="false">G24*H24</f>
        <v>1409.4</v>
      </c>
      <c r="J24" s="0" t="str">
        <f aca="false">TEXT(B24,"mmm-yyyy")</f>
        <v>May-2026</v>
      </c>
    </row>
    <row r="25" customFormat="false" ht="15" hidden="false" customHeight="false" outlineLevel="0" collapsed="false">
      <c r="A25" s="0" t="n">
        <v>6024</v>
      </c>
      <c r="B25" s="4" t="n">
        <v>46283</v>
      </c>
      <c r="C25" s="0" t="n">
        <v>4004</v>
      </c>
      <c r="D25" s="0" t="str">
        <f aca="false">IFERROR(INDEX(InventoryData[ItemName],MATCH(C25,InventoryData[ItemID],0)),"Not found")</f>
        <v>Docking Station v1</v>
      </c>
      <c r="E25" s="0" t="str">
        <f aca="false">IFERROR(INDEX(InventoryData[Category],MATCH(C25,InventoryData[ItemID],0)),"")</f>
        <v>Electronics</v>
      </c>
      <c r="F25" s="0" t="str">
        <f aca="false">IFERROR(INDEX(InventoryData[Supplier],MATCH(C25,InventoryData[ItemID],0)),"")</f>
        <v>Dublin Tech Distributors</v>
      </c>
      <c r="G25" s="0" t="n">
        <v>25</v>
      </c>
      <c r="H25" s="3" t="n">
        <f aca="false">IFERROR(INDEX(InventoryData[UnitCost],MATCH(C25,InventoryData[ItemID],0)),0)</f>
        <v>170.96</v>
      </c>
      <c r="I25" s="3" t="n">
        <f aca="false">G25*H25</f>
        <v>4274</v>
      </c>
      <c r="J25" s="0" t="str">
        <f aca="false">TEXT(B25,"mmm-yyyy")</f>
        <v>Sep-2026</v>
      </c>
    </row>
    <row r="26" customFormat="false" ht="15" hidden="false" customHeight="false" outlineLevel="0" collapsed="false">
      <c r="A26" s="0" t="n">
        <v>6025</v>
      </c>
      <c r="B26" s="4" t="n">
        <v>46243</v>
      </c>
      <c r="C26" s="0" t="n">
        <v>4003</v>
      </c>
      <c r="D26" s="0" t="str">
        <f aca="false">IFERROR(INDEX(InventoryData[ItemName],MATCH(C26,InventoryData[ItemID],0)),"Not found")</f>
        <v>Monitor v1</v>
      </c>
      <c r="E26" s="0" t="str">
        <f aca="false">IFERROR(INDEX(InventoryData[Category],MATCH(C26,InventoryData[ItemID],0)),"")</f>
        <v>Electronics</v>
      </c>
      <c r="F26" s="0" t="str">
        <f aca="false">IFERROR(INDEX(InventoryData[Supplier],MATCH(C26,InventoryData[ItemID],0)),"")</f>
        <v>Dublin Tech Distributors</v>
      </c>
      <c r="G26" s="0" t="n">
        <v>59</v>
      </c>
      <c r="H26" s="3" t="n">
        <f aca="false">IFERROR(INDEX(InventoryData[UnitCost],MATCH(C26,InventoryData[ItemID],0)),0)</f>
        <v>16.92</v>
      </c>
      <c r="I26" s="3" t="n">
        <f aca="false">G26*H26</f>
        <v>998.28</v>
      </c>
      <c r="J26" s="0" t="str">
        <f aca="false">TEXT(B26,"mmm-yyyy")</f>
        <v>Aug-2026</v>
      </c>
    </row>
    <row r="27" customFormat="false" ht="15" hidden="false" customHeight="false" outlineLevel="0" collapsed="false">
      <c r="A27" s="0" t="n">
        <v>6026</v>
      </c>
      <c r="B27" s="4" t="n">
        <v>46282</v>
      </c>
      <c r="C27" s="0" t="n">
        <v>4029</v>
      </c>
      <c r="D27" s="0" t="str">
        <f aca="false">IFERROR(INDEX(InventoryData[ItemName],MATCH(C27,InventoryData[ItemID],0)),"Not found")</f>
        <v>Ergonomic Chair v1</v>
      </c>
      <c r="E27" s="0" t="str">
        <f aca="false">IFERROR(INDEX(InventoryData[Category],MATCH(C27,InventoryData[ItemID],0)),"")</f>
        <v>Furniture</v>
      </c>
      <c r="F27" s="0" t="str">
        <f aca="false">IFERROR(INDEX(InventoryData[Supplier],MATCH(C27,InventoryData[ItemID],0)),"")</f>
        <v>Emerald Furniture Co.</v>
      </c>
      <c r="G27" s="0" t="n">
        <v>45</v>
      </c>
      <c r="H27" s="3" t="n">
        <f aca="false">IFERROR(INDEX(InventoryData[UnitCost],MATCH(C27,InventoryData[ItemID],0)),0)</f>
        <v>168.74</v>
      </c>
      <c r="I27" s="3" t="n">
        <f aca="false">G27*H27</f>
        <v>7593.3</v>
      </c>
      <c r="J27" s="0" t="str">
        <f aca="false">TEXT(B27,"mmm-yyyy")</f>
        <v>Sep-2026</v>
      </c>
    </row>
    <row r="28" customFormat="false" ht="15" hidden="false" customHeight="false" outlineLevel="0" collapsed="false">
      <c r="A28" s="0" t="n">
        <v>6027</v>
      </c>
      <c r="B28" s="4" t="n">
        <v>46290</v>
      </c>
      <c r="C28" s="0" t="n">
        <v>4005</v>
      </c>
      <c r="D28" s="0" t="str">
        <f aca="false">IFERROR(INDEX(InventoryData[ItemName],MATCH(C28,InventoryData[ItemID],0)),"Not found")</f>
        <v>Docking Station v2</v>
      </c>
      <c r="E28" s="0" t="str">
        <f aca="false">IFERROR(INDEX(InventoryData[Category],MATCH(C28,InventoryData[ItemID],0)),"")</f>
        <v>Electronics</v>
      </c>
      <c r="F28" s="0" t="str">
        <f aca="false">IFERROR(INDEX(InventoryData[Supplier],MATCH(C28,InventoryData[ItemID],0)),"")</f>
        <v>Dublin Tech Distributors</v>
      </c>
      <c r="G28" s="0" t="n">
        <v>38</v>
      </c>
      <c r="H28" s="3" t="n">
        <f aca="false">IFERROR(INDEX(InventoryData[UnitCost],MATCH(C28,InventoryData[ItemID],0)),0)</f>
        <v>252.99</v>
      </c>
      <c r="I28" s="3" t="n">
        <f aca="false">G28*H28</f>
        <v>9613.62</v>
      </c>
      <c r="J28" s="0" t="str">
        <f aca="false">TEXT(B28,"mmm-yyyy")</f>
        <v>Sep-2026</v>
      </c>
    </row>
    <row r="29" customFormat="false" ht="15" hidden="false" customHeight="false" outlineLevel="0" collapsed="false">
      <c r="A29" s="0" t="n">
        <v>6028</v>
      </c>
      <c r="B29" s="4" t="n">
        <v>46223</v>
      </c>
      <c r="C29" s="0" t="n">
        <v>4033</v>
      </c>
      <c r="D29" s="0" t="str">
        <f aca="false">IFERROR(INDEX(InventoryData[ItemName],MATCH(C29,InventoryData[ItemID],0)),"Not found")</f>
        <v>Bookshelf v3</v>
      </c>
      <c r="E29" s="0" t="str">
        <f aca="false">IFERROR(INDEX(InventoryData[Category],MATCH(C29,InventoryData[ItemID],0)),"")</f>
        <v>Furniture</v>
      </c>
      <c r="F29" s="0" t="str">
        <f aca="false">IFERROR(INDEX(InventoryData[Supplier],MATCH(C29,InventoryData[ItemID],0)),"")</f>
        <v>Emerald Furniture Co.</v>
      </c>
      <c r="G29" s="0" t="n">
        <v>48</v>
      </c>
      <c r="H29" s="3" t="n">
        <f aca="false">IFERROR(INDEX(InventoryData[UnitCost],MATCH(C29,InventoryData[ItemID],0)),0)</f>
        <v>43.21</v>
      </c>
      <c r="I29" s="3" t="n">
        <f aca="false">G29*H29</f>
        <v>2074.08</v>
      </c>
      <c r="J29" s="0" t="str">
        <f aca="false">TEXT(B29,"mmm-yyyy")</f>
        <v>Jul-2026</v>
      </c>
    </row>
    <row r="30" customFormat="false" ht="15" hidden="false" customHeight="false" outlineLevel="0" collapsed="false">
      <c r="A30" s="0" t="n">
        <v>6029</v>
      </c>
      <c r="B30" s="4" t="n">
        <v>46149</v>
      </c>
      <c r="C30" s="0" t="n">
        <v>4045</v>
      </c>
      <c r="D30" s="0" t="str">
        <f aca="false">IFERROR(INDEX(InventoryData[ItemName],MATCH(C30,InventoryData[ItemID],0)),"Not found")</f>
        <v>Shipping Box (Large) v3</v>
      </c>
      <c r="E30" s="0" t="str">
        <f aca="false">IFERROR(INDEX(InventoryData[Category],MATCH(C30,InventoryData[ItemID],0)),"")</f>
        <v>Packaging</v>
      </c>
      <c r="F30" s="0" t="str">
        <f aca="false">IFERROR(INDEX(InventoryData[Supplier],MATCH(C30,InventoryData[ItemID],0)),"")</f>
        <v>Shannon Packaging Ltd</v>
      </c>
      <c r="G30" s="0" t="n">
        <v>27</v>
      </c>
      <c r="H30" s="3" t="n">
        <f aca="false">IFERROR(INDEX(InventoryData[UnitCost],MATCH(C30,InventoryData[ItemID],0)),0)</f>
        <v>324.98</v>
      </c>
      <c r="I30" s="3" t="n">
        <f aca="false">G30*H30</f>
        <v>8774.46</v>
      </c>
      <c r="J30" s="0" t="str">
        <f aca="false">TEXT(B30,"mmm-yyyy")</f>
        <v>May-2026</v>
      </c>
    </row>
    <row r="31" customFormat="false" ht="15" hidden="false" customHeight="false" outlineLevel="0" collapsed="false">
      <c r="A31" s="0" t="n">
        <v>6030</v>
      </c>
      <c r="B31" s="4" t="n">
        <v>46190</v>
      </c>
      <c r="C31" s="0" t="n">
        <v>4035</v>
      </c>
      <c r="D31" s="0" t="str">
        <f aca="false">IFERROR(INDEX(InventoryData[ItemName],MATCH(C31,InventoryData[ItemID],0)),"Not found")</f>
        <v>Office Suite License v1</v>
      </c>
      <c r="E31" s="0" t="str">
        <f aca="false">IFERROR(INDEX(InventoryData[Category],MATCH(C31,InventoryData[ItemID],0)),"")</f>
        <v>Software</v>
      </c>
      <c r="F31" s="0" t="str">
        <f aca="false">IFERROR(INDEX(InventoryData[Supplier],MATCH(C31,InventoryData[ItemID],0)),"")</f>
        <v>CloudSoft Licensing</v>
      </c>
      <c r="G31" s="0" t="n">
        <v>40</v>
      </c>
      <c r="H31" s="3" t="n">
        <f aca="false">IFERROR(INDEX(InventoryData[UnitCost],MATCH(C31,InventoryData[ItemID],0)),0)</f>
        <v>227.58</v>
      </c>
      <c r="I31" s="3" t="n">
        <f aca="false">G31*H31</f>
        <v>9103.2</v>
      </c>
      <c r="J31" s="0" t="str">
        <f aca="false">TEXT(B31,"mmm-yyyy")</f>
        <v>Jun-2026</v>
      </c>
    </row>
    <row r="32" customFormat="false" ht="15" hidden="false" customHeight="false" outlineLevel="0" collapsed="false">
      <c r="A32" s="0" t="n">
        <v>6031</v>
      </c>
      <c r="B32" s="4" t="n">
        <v>46150</v>
      </c>
      <c r="C32" s="0" t="n">
        <v>4045</v>
      </c>
      <c r="D32" s="0" t="str">
        <f aca="false">IFERROR(INDEX(InventoryData[ItemName],MATCH(C32,InventoryData[ItemID],0)),"Not found")</f>
        <v>Shipping Box (Large) v3</v>
      </c>
      <c r="E32" s="0" t="str">
        <f aca="false">IFERROR(INDEX(InventoryData[Category],MATCH(C32,InventoryData[ItemID],0)),"")</f>
        <v>Packaging</v>
      </c>
      <c r="F32" s="0" t="str">
        <f aca="false">IFERROR(INDEX(InventoryData[Supplier],MATCH(C32,InventoryData[ItemID],0)),"")</f>
        <v>Shannon Packaging Ltd</v>
      </c>
      <c r="G32" s="0" t="n">
        <v>43</v>
      </c>
      <c r="H32" s="3" t="n">
        <f aca="false">IFERROR(INDEX(InventoryData[UnitCost],MATCH(C32,InventoryData[ItemID],0)),0)</f>
        <v>324.98</v>
      </c>
      <c r="I32" s="3" t="n">
        <f aca="false">G32*H32</f>
        <v>13974.14</v>
      </c>
      <c r="J32" s="0" t="str">
        <f aca="false">TEXT(B32,"mmm-yyyy")</f>
        <v>May-2026</v>
      </c>
    </row>
    <row r="33" customFormat="false" ht="15" hidden="false" customHeight="false" outlineLevel="0" collapsed="false">
      <c r="A33" s="0" t="n">
        <v>6032</v>
      </c>
      <c r="B33" s="4" t="n">
        <v>46221</v>
      </c>
      <c r="C33" s="0" t="n">
        <v>4013</v>
      </c>
      <c r="D33" s="0" t="str">
        <f aca="false">IFERROR(INDEX(InventoryData[ItemName],MATCH(C33,InventoryData[ItemID],0)),"Not found")</f>
        <v>USB Hub v1</v>
      </c>
      <c r="E33" s="0" t="str">
        <f aca="false">IFERROR(INDEX(InventoryData[Category],MATCH(C33,InventoryData[ItemID],0)),"")</f>
        <v>Electronics</v>
      </c>
      <c r="F33" s="0" t="str">
        <f aca="false">IFERROR(INDEX(InventoryData[Supplier],MATCH(C33,InventoryData[ItemID],0)),"")</f>
        <v>Dublin Tech Distributors</v>
      </c>
      <c r="G33" s="0" t="n">
        <v>38</v>
      </c>
      <c r="H33" s="3" t="n">
        <f aca="false">IFERROR(INDEX(InventoryData[UnitCost],MATCH(C33,InventoryData[ItemID],0)),0)</f>
        <v>211.03</v>
      </c>
      <c r="I33" s="3" t="n">
        <f aca="false">G33*H33</f>
        <v>8019.14</v>
      </c>
      <c r="J33" s="0" t="str">
        <f aca="false">TEXT(B33,"mmm-yyyy")</f>
        <v>Jul-2026</v>
      </c>
    </row>
    <row r="34" customFormat="false" ht="15" hidden="false" customHeight="false" outlineLevel="0" collapsed="false">
      <c r="A34" s="0" t="n">
        <v>6033</v>
      </c>
      <c r="B34" s="4" t="n">
        <v>46248</v>
      </c>
      <c r="C34" s="0" t="n">
        <v>4008</v>
      </c>
      <c r="D34" s="0" t="str">
        <f aca="false">IFERROR(INDEX(InventoryData[ItemName],MATCH(C34,InventoryData[ItemID],0)),"Not found")</f>
        <v>Headset v1</v>
      </c>
      <c r="E34" s="0" t="str">
        <f aca="false">IFERROR(INDEX(InventoryData[Category],MATCH(C34,InventoryData[ItemID],0)),"")</f>
        <v>Electronics</v>
      </c>
      <c r="F34" s="0" t="str">
        <f aca="false">IFERROR(INDEX(InventoryData[Supplier],MATCH(C34,InventoryData[ItemID],0)),"")</f>
        <v>Dublin Tech Distributors</v>
      </c>
      <c r="G34" s="0" t="n">
        <v>35</v>
      </c>
      <c r="H34" s="3" t="n">
        <f aca="false">IFERROR(INDEX(InventoryData[UnitCost],MATCH(C34,InventoryData[ItemID],0)),0)</f>
        <v>326.82</v>
      </c>
      <c r="I34" s="3" t="n">
        <f aca="false">G34*H34</f>
        <v>11438.7</v>
      </c>
      <c r="J34" s="0" t="str">
        <f aca="false">TEXT(B34,"mmm-yyyy")</f>
        <v>Aug-2026</v>
      </c>
    </row>
    <row r="35" customFormat="false" ht="15" hidden="false" customHeight="false" outlineLevel="0" collapsed="false">
      <c r="A35" s="0" t="n">
        <v>6034</v>
      </c>
      <c r="B35" s="4" t="n">
        <v>46184</v>
      </c>
      <c r="C35" s="0" t="n">
        <v>4005</v>
      </c>
      <c r="D35" s="0" t="str">
        <f aca="false">IFERROR(INDEX(InventoryData[ItemName],MATCH(C35,InventoryData[ItemID],0)),"Not found")</f>
        <v>Docking Station v2</v>
      </c>
      <c r="E35" s="0" t="str">
        <f aca="false">IFERROR(INDEX(InventoryData[Category],MATCH(C35,InventoryData[ItemID],0)),"")</f>
        <v>Electronics</v>
      </c>
      <c r="F35" s="0" t="str">
        <f aca="false">IFERROR(INDEX(InventoryData[Supplier],MATCH(C35,InventoryData[ItemID],0)),"")</f>
        <v>Dublin Tech Distributors</v>
      </c>
      <c r="G35" s="0" t="n">
        <v>52</v>
      </c>
      <c r="H35" s="3" t="n">
        <f aca="false">IFERROR(INDEX(InventoryData[UnitCost],MATCH(C35,InventoryData[ItemID],0)),0)</f>
        <v>252.99</v>
      </c>
      <c r="I35" s="3" t="n">
        <f aca="false">G35*H35</f>
        <v>13155.48</v>
      </c>
      <c r="J35" s="0" t="str">
        <f aca="false">TEXT(B35,"mmm-yyyy")</f>
        <v>Jun-2026</v>
      </c>
    </row>
    <row r="36" customFormat="false" ht="15" hidden="false" customHeight="false" outlineLevel="0" collapsed="false">
      <c r="A36" s="0" t="n">
        <v>6035</v>
      </c>
      <c r="B36" s="4" t="n">
        <v>46248</v>
      </c>
      <c r="C36" s="0" t="n">
        <v>4005</v>
      </c>
      <c r="D36" s="0" t="str">
        <f aca="false">IFERROR(INDEX(InventoryData[ItemName],MATCH(C36,InventoryData[ItemID],0)),"Not found")</f>
        <v>Docking Station v2</v>
      </c>
      <c r="E36" s="0" t="str">
        <f aca="false">IFERROR(INDEX(InventoryData[Category],MATCH(C36,InventoryData[ItemID],0)),"")</f>
        <v>Electronics</v>
      </c>
      <c r="F36" s="0" t="str">
        <f aca="false">IFERROR(INDEX(InventoryData[Supplier],MATCH(C36,InventoryData[ItemID],0)),"")</f>
        <v>Dublin Tech Distributors</v>
      </c>
      <c r="G36" s="0" t="n">
        <v>23</v>
      </c>
      <c r="H36" s="3" t="n">
        <f aca="false">IFERROR(INDEX(InventoryData[UnitCost],MATCH(C36,InventoryData[ItemID],0)),0)</f>
        <v>252.99</v>
      </c>
      <c r="I36" s="3" t="n">
        <f aca="false">G36*H36</f>
        <v>5818.77</v>
      </c>
      <c r="J36" s="0" t="str">
        <f aca="false">TEXT(B36,"mmm-yyyy")</f>
        <v>Aug-2026</v>
      </c>
    </row>
    <row r="37" customFormat="false" ht="15" hidden="false" customHeight="false" outlineLevel="0" collapsed="false">
      <c r="A37" s="0" t="n">
        <v>6036</v>
      </c>
      <c r="B37" s="4" t="n">
        <v>46122</v>
      </c>
      <c r="C37" s="0" t="n">
        <v>4051</v>
      </c>
      <c r="D37" s="0" t="str">
        <f aca="false">IFERROR(INDEX(InventoryData[ItemName],MATCH(C37,InventoryData[ItemID],0)),"Not found")</f>
        <v>Paper Towels v1</v>
      </c>
      <c r="E37" s="0" t="str">
        <f aca="false">IFERROR(INDEX(InventoryData[Category],MATCH(C37,InventoryData[ItemID],0)),"")</f>
        <v>Cleaning Supplies</v>
      </c>
      <c r="F37" s="0" t="str">
        <f aca="false">IFERROR(INDEX(InventoryData[Supplier],MATCH(C37,InventoryData[ItemID],0)),"")</f>
        <v>GreenClean Wholesale</v>
      </c>
      <c r="G37" s="0" t="n">
        <v>17</v>
      </c>
      <c r="H37" s="3" t="n">
        <f aca="false">IFERROR(INDEX(InventoryData[UnitCost],MATCH(C37,InventoryData[ItemID],0)),0)</f>
        <v>194.1</v>
      </c>
      <c r="I37" s="3" t="n">
        <f aca="false">G37*H37</f>
        <v>3299.7</v>
      </c>
      <c r="J37" s="0" t="str">
        <f aca="false">TEXT(B37,"mmm-yyyy")</f>
        <v>Apr-2026</v>
      </c>
    </row>
    <row r="38" customFormat="false" ht="15" hidden="false" customHeight="false" outlineLevel="0" collapsed="false">
      <c r="A38" s="0" t="n">
        <v>6037</v>
      </c>
      <c r="B38" s="4" t="n">
        <v>46257</v>
      </c>
      <c r="C38" s="0" t="n">
        <v>4042</v>
      </c>
      <c r="D38" s="0" t="str">
        <f aca="false">IFERROR(INDEX(InventoryData[ItemName],MATCH(C38,InventoryData[ItemID],0)),"Not found")</f>
        <v>Shipping Box (Small) v3</v>
      </c>
      <c r="E38" s="0" t="str">
        <f aca="false">IFERROR(INDEX(InventoryData[Category],MATCH(C38,InventoryData[ItemID],0)),"")</f>
        <v>Packaging</v>
      </c>
      <c r="F38" s="0" t="str">
        <f aca="false">IFERROR(INDEX(InventoryData[Supplier],MATCH(C38,InventoryData[ItemID],0)),"")</f>
        <v>Shannon Packaging Ltd</v>
      </c>
      <c r="G38" s="0" t="n">
        <v>52</v>
      </c>
      <c r="H38" s="3" t="n">
        <f aca="false">IFERROR(INDEX(InventoryData[UnitCost],MATCH(C38,InventoryData[ItemID],0)),0)</f>
        <v>391.44</v>
      </c>
      <c r="I38" s="3" t="n">
        <f aca="false">G38*H38</f>
        <v>20354.88</v>
      </c>
      <c r="J38" s="0" t="str">
        <f aca="false">TEXT(B38,"mmm-yyyy")</f>
        <v>Aug-2026</v>
      </c>
    </row>
    <row r="39" customFormat="false" ht="15" hidden="false" customHeight="false" outlineLevel="0" collapsed="false">
      <c r="A39" s="0" t="n">
        <v>6038</v>
      </c>
      <c r="B39" s="4" t="n">
        <v>46208</v>
      </c>
      <c r="C39" s="0" t="n">
        <v>4017</v>
      </c>
      <c r="D39" s="0" t="str">
        <f aca="false">IFERROR(INDEX(InventoryData[ItemName],MATCH(C39,InventoryData[ItemID],0)),"Not found")</f>
        <v>Printer Paper (Ream) v1</v>
      </c>
      <c r="E39" s="0" t="str">
        <f aca="false">IFERROR(INDEX(InventoryData[Category],MATCH(C39,InventoryData[ItemID],0)),"")</f>
        <v>Office Supplies</v>
      </c>
      <c r="F39" s="0" t="str">
        <f aca="false">IFERROR(INDEX(InventoryData[Supplier],MATCH(C39,InventoryData[ItemID],0)),"")</f>
        <v>Leinster Office Supplies</v>
      </c>
      <c r="G39" s="0" t="n">
        <v>18</v>
      </c>
      <c r="H39" s="3" t="n">
        <f aca="false">IFERROR(INDEX(InventoryData[UnitCost],MATCH(C39,InventoryData[ItemID],0)),0)</f>
        <v>137.37</v>
      </c>
      <c r="I39" s="3" t="n">
        <f aca="false">G39*H39</f>
        <v>2472.66</v>
      </c>
      <c r="J39" s="0" t="str">
        <f aca="false">TEXT(B39,"mmm-yyyy")</f>
        <v>Jul-2026</v>
      </c>
    </row>
    <row r="40" customFormat="false" ht="15" hidden="false" customHeight="false" outlineLevel="0" collapsed="false">
      <c r="A40" s="0" t="n">
        <v>6039</v>
      </c>
      <c r="B40" s="4" t="n">
        <v>46181</v>
      </c>
      <c r="C40" s="0" t="n">
        <v>4048</v>
      </c>
      <c r="D40" s="0" t="str">
        <f aca="false">IFERROR(INDEX(InventoryData[ItemName],MATCH(C40,InventoryData[ItemID],0)),"Not found")</f>
        <v>Packing Tape v2</v>
      </c>
      <c r="E40" s="0" t="str">
        <f aca="false">IFERROR(INDEX(InventoryData[Category],MATCH(C40,InventoryData[ItemID],0)),"")</f>
        <v>Packaging</v>
      </c>
      <c r="F40" s="0" t="str">
        <f aca="false">IFERROR(INDEX(InventoryData[Supplier],MATCH(C40,InventoryData[ItemID],0)),"")</f>
        <v>Shannon Packaging Ltd</v>
      </c>
      <c r="G40" s="0" t="n">
        <v>16</v>
      </c>
      <c r="H40" s="3" t="n">
        <f aca="false">IFERROR(INDEX(InventoryData[UnitCost],MATCH(C40,InventoryData[ItemID],0)),0)</f>
        <v>189.95</v>
      </c>
      <c r="I40" s="3" t="n">
        <f aca="false">G40*H40</f>
        <v>3039.2</v>
      </c>
      <c r="J40" s="0" t="str">
        <f aca="false">TEXT(B40,"mmm-yyyy")</f>
        <v>Jun-2026</v>
      </c>
    </row>
    <row r="41" customFormat="false" ht="15" hidden="false" customHeight="false" outlineLevel="0" collapsed="false">
      <c r="A41" s="0" t="n">
        <v>6040</v>
      </c>
      <c r="B41" s="4" t="n">
        <v>46189</v>
      </c>
      <c r="C41" s="0" t="n">
        <v>4011</v>
      </c>
      <c r="D41" s="0" t="str">
        <f aca="false">IFERROR(INDEX(InventoryData[ItemName],MATCH(C41,InventoryData[ItemID],0)),"Not found")</f>
        <v>Webcam v1</v>
      </c>
      <c r="E41" s="0" t="str">
        <f aca="false">IFERROR(INDEX(InventoryData[Category],MATCH(C41,InventoryData[ItemID],0)),"")</f>
        <v>Electronics</v>
      </c>
      <c r="F41" s="0" t="str">
        <f aca="false">IFERROR(INDEX(InventoryData[Supplier],MATCH(C41,InventoryData[ItemID],0)),"")</f>
        <v>Dublin Tech Distributors</v>
      </c>
      <c r="G41" s="0" t="n">
        <v>52</v>
      </c>
      <c r="H41" s="3" t="n">
        <f aca="false">IFERROR(INDEX(InventoryData[UnitCost],MATCH(C41,InventoryData[ItemID],0)),0)</f>
        <v>187.31</v>
      </c>
      <c r="I41" s="3" t="n">
        <f aca="false">G41*H41</f>
        <v>9740.12</v>
      </c>
      <c r="J41" s="0" t="str">
        <f aca="false">TEXT(B41,"mmm-yyyy")</f>
        <v>Jun-2026</v>
      </c>
    </row>
    <row r="42" customFormat="false" ht="15" hidden="false" customHeight="false" outlineLevel="0" collapsed="false">
      <c r="A42" s="0" t="n">
        <v>6041</v>
      </c>
      <c r="B42" s="4" t="n">
        <v>46240</v>
      </c>
      <c r="C42" s="0" t="n">
        <v>4046</v>
      </c>
      <c r="D42" s="0" t="str">
        <f aca="false">IFERROR(INDEX(InventoryData[ItemName],MATCH(C42,InventoryData[ItemID],0)),"Not found")</f>
        <v>Bubble Wrap Roll v1</v>
      </c>
      <c r="E42" s="0" t="str">
        <f aca="false">IFERROR(INDEX(InventoryData[Category],MATCH(C42,InventoryData[ItemID],0)),"")</f>
        <v>Packaging</v>
      </c>
      <c r="F42" s="0" t="str">
        <f aca="false">IFERROR(INDEX(InventoryData[Supplier],MATCH(C42,InventoryData[ItemID],0)),"")</f>
        <v>Shannon Packaging Ltd</v>
      </c>
      <c r="G42" s="0" t="n">
        <v>37</v>
      </c>
      <c r="H42" s="3" t="n">
        <f aca="false">IFERROR(INDEX(InventoryData[UnitCost],MATCH(C42,InventoryData[ItemID],0)),0)</f>
        <v>327.7</v>
      </c>
      <c r="I42" s="3" t="n">
        <f aca="false">G42*H42</f>
        <v>12124.9</v>
      </c>
      <c r="J42" s="0" t="str">
        <f aca="false">TEXT(B42,"mmm-yyyy")</f>
        <v>Aug-2026</v>
      </c>
    </row>
    <row r="43" customFormat="false" ht="15" hidden="false" customHeight="false" outlineLevel="0" collapsed="false">
      <c r="A43" s="0" t="n">
        <v>6042</v>
      </c>
      <c r="B43" s="4" t="n">
        <v>46155</v>
      </c>
      <c r="C43" s="0" t="n">
        <v>4022</v>
      </c>
      <c r="D43" s="0" t="str">
        <f aca="false">IFERROR(INDEX(InventoryData[ItemName],MATCH(C43,InventoryData[ItemID],0)),"Not found")</f>
        <v>Pen Pack v1</v>
      </c>
      <c r="E43" s="0" t="str">
        <f aca="false">IFERROR(INDEX(InventoryData[Category],MATCH(C43,InventoryData[ItemID],0)),"")</f>
        <v>Office Supplies</v>
      </c>
      <c r="F43" s="0" t="str">
        <f aca="false">IFERROR(INDEX(InventoryData[Supplier],MATCH(C43,InventoryData[ItemID],0)),"")</f>
        <v>Leinster Office Supplies</v>
      </c>
      <c r="G43" s="0" t="n">
        <v>36</v>
      </c>
      <c r="H43" s="3" t="n">
        <f aca="false">IFERROR(INDEX(InventoryData[UnitCost],MATCH(C43,InventoryData[ItemID],0)),0)</f>
        <v>68.88</v>
      </c>
      <c r="I43" s="3" t="n">
        <f aca="false">G43*H43</f>
        <v>2479.68</v>
      </c>
      <c r="J43" s="0" t="str">
        <f aca="false">TEXT(B43,"mmm-yyyy")</f>
        <v>May-2026</v>
      </c>
    </row>
    <row r="44" customFormat="false" ht="15" hidden="false" customHeight="false" outlineLevel="0" collapsed="false">
      <c r="A44" s="0" t="n">
        <v>6043</v>
      </c>
      <c r="B44" s="4" t="n">
        <v>46246</v>
      </c>
      <c r="C44" s="0" t="n">
        <v>4021</v>
      </c>
      <c r="D44" s="0" t="str">
        <f aca="false">IFERROR(INDEX(InventoryData[ItemName],MATCH(C44,InventoryData[ItemID],0)),"Not found")</f>
        <v>Stapler v3</v>
      </c>
      <c r="E44" s="0" t="str">
        <f aca="false">IFERROR(INDEX(InventoryData[Category],MATCH(C44,InventoryData[ItemID],0)),"")</f>
        <v>Office Supplies</v>
      </c>
      <c r="F44" s="0" t="str">
        <f aca="false">IFERROR(INDEX(InventoryData[Supplier],MATCH(C44,InventoryData[ItemID],0)),"")</f>
        <v>Leinster Office Supplies</v>
      </c>
      <c r="G44" s="0" t="n">
        <v>15</v>
      </c>
      <c r="H44" s="3" t="n">
        <f aca="false">IFERROR(INDEX(InventoryData[UnitCost],MATCH(C44,InventoryData[ItemID],0)),0)</f>
        <v>155.54</v>
      </c>
      <c r="I44" s="3" t="n">
        <f aca="false">G44*H44</f>
        <v>2333.1</v>
      </c>
      <c r="J44" s="0" t="str">
        <f aca="false">TEXT(B44,"mmm-yyyy")</f>
        <v>Aug-2026</v>
      </c>
    </row>
    <row r="45" customFormat="false" ht="15" hidden="false" customHeight="false" outlineLevel="0" collapsed="false">
      <c r="A45" s="0" t="n">
        <v>6044</v>
      </c>
      <c r="B45" s="4" t="n">
        <v>46124</v>
      </c>
      <c r="C45" s="0" t="n">
        <v>4002</v>
      </c>
      <c r="D45" s="0" t="str">
        <f aca="false">IFERROR(INDEX(InventoryData[ItemName],MATCH(C45,InventoryData[ItemID],0)),"Not found")</f>
        <v>Laptop v2</v>
      </c>
      <c r="E45" s="0" t="str">
        <f aca="false">IFERROR(INDEX(InventoryData[Category],MATCH(C45,InventoryData[ItemID],0)),"")</f>
        <v>Electronics</v>
      </c>
      <c r="F45" s="0" t="str">
        <f aca="false">IFERROR(INDEX(InventoryData[Supplier],MATCH(C45,InventoryData[ItemID],0)),"")</f>
        <v>Dublin Tech Distributors</v>
      </c>
      <c r="G45" s="0" t="n">
        <v>31</v>
      </c>
      <c r="H45" s="3" t="n">
        <f aca="false">IFERROR(INDEX(InventoryData[UnitCost],MATCH(C45,InventoryData[ItemID],0)),0)</f>
        <v>215.28</v>
      </c>
      <c r="I45" s="3" t="n">
        <f aca="false">G45*H45</f>
        <v>6673.68</v>
      </c>
      <c r="J45" s="0" t="str">
        <f aca="false">TEXT(B45,"mmm-yyyy")</f>
        <v>Apr-2026</v>
      </c>
    </row>
    <row r="46" customFormat="false" ht="15" hidden="false" customHeight="false" outlineLevel="0" collapsed="false">
      <c r="A46" s="0" t="n">
        <v>6045</v>
      </c>
      <c r="B46" s="4" t="n">
        <v>46157</v>
      </c>
      <c r="C46" s="0" t="n">
        <v>4029</v>
      </c>
      <c r="D46" s="0" t="str">
        <f aca="false">IFERROR(INDEX(InventoryData[ItemName],MATCH(C46,InventoryData[ItemID],0)),"Not found")</f>
        <v>Ergonomic Chair v1</v>
      </c>
      <c r="E46" s="0" t="str">
        <f aca="false">IFERROR(INDEX(InventoryData[Category],MATCH(C46,InventoryData[ItemID],0)),"")</f>
        <v>Furniture</v>
      </c>
      <c r="F46" s="0" t="str">
        <f aca="false">IFERROR(INDEX(InventoryData[Supplier],MATCH(C46,InventoryData[ItemID],0)),"")</f>
        <v>Emerald Furniture Co.</v>
      </c>
      <c r="G46" s="0" t="n">
        <v>55</v>
      </c>
      <c r="H46" s="3" t="n">
        <f aca="false">IFERROR(INDEX(InventoryData[UnitCost],MATCH(C46,InventoryData[ItemID],0)),0)</f>
        <v>168.74</v>
      </c>
      <c r="I46" s="3" t="n">
        <f aca="false">G46*H46</f>
        <v>9280.7</v>
      </c>
      <c r="J46" s="0" t="str">
        <f aca="false">TEXT(B46,"mmm-yyyy")</f>
        <v>May-2026</v>
      </c>
    </row>
    <row r="47" customFormat="false" ht="15" hidden="false" customHeight="false" outlineLevel="0" collapsed="false">
      <c r="A47" s="0" t="n">
        <v>6046</v>
      </c>
      <c r="B47" s="4" t="n">
        <v>46278</v>
      </c>
      <c r="C47" s="0" t="n">
        <v>4022</v>
      </c>
      <c r="D47" s="0" t="str">
        <f aca="false">IFERROR(INDEX(InventoryData[ItemName],MATCH(C47,InventoryData[ItemID],0)),"Not found")</f>
        <v>Pen Pack v1</v>
      </c>
      <c r="E47" s="0" t="str">
        <f aca="false">IFERROR(INDEX(InventoryData[Category],MATCH(C47,InventoryData[ItemID],0)),"")</f>
        <v>Office Supplies</v>
      </c>
      <c r="F47" s="0" t="str">
        <f aca="false">IFERROR(INDEX(InventoryData[Supplier],MATCH(C47,InventoryData[ItemID],0)),"")</f>
        <v>Leinster Office Supplies</v>
      </c>
      <c r="G47" s="0" t="n">
        <v>43</v>
      </c>
      <c r="H47" s="3" t="n">
        <f aca="false">IFERROR(INDEX(InventoryData[UnitCost],MATCH(C47,InventoryData[ItemID],0)),0)</f>
        <v>68.88</v>
      </c>
      <c r="I47" s="3" t="n">
        <f aca="false">G47*H47</f>
        <v>2961.84</v>
      </c>
      <c r="J47" s="0" t="str">
        <f aca="false">TEXT(B47,"mmm-yyyy")</f>
        <v>Sep-2026</v>
      </c>
    </row>
    <row r="48" customFormat="false" ht="15" hidden="false" customHeight="false" outlineLevel="0" collapsed="false">
      <c r="A48" s="0" t="n">
        <v>6047</v>
      </c>
      <c r="B48" s="4" t="n">
        <v>46152</v>
      </c>
      <c r="C48" s="0" t="n">
        <v>4033</v>
      </c>
      <c r="D48" s="0" t="str">
        <f aca="false">IFERROR(INDEX(InventoryData[ItemName],MATCH(C48,InventoryData[ItemID],0)),"Not found")</f>
        <v>Bookshelf v3</v>
      </c>
      <c r="E48" s="0" t="str">
        <f aca="false">IFERROR(INDEX(InventoryData[Category],MATCH(C48,InventoryData[ItemID],0)),"")</f>
        <v>Furniture</v>
      </c>
      <c r="F48" s="0" t="str">
        <f aca="false">IFERROR(INDEX(InventoryData[Supplier],MATCH(C48,InventoryData[ItemID],0)),"")</f>
        <v>Emerald Furniture Co.</v>
      </c>
      <c r="G48" s="0" t="n">
        <v>14</v>
      </c>
      <c r="H48" s="3" t="n">
        <f aca="false">IFERROR(INDEX(InventoryData[UnitCost],MATCH(C48,InventoryData[ItemID],0)),0)</f>
        <v>43.21</v>
      </c>
      <c r="I48" s="3" t="n">
        <f aca="false">G48*H48</f>
        <v>604.94</v>
      </c>
      <c r="J48" s="0" t="str">
        <f aca="false">TEXT(B48,"mmm-yyyy")</f>
        <v>May-2026</v>
      </c>
    </row>
    <row r="49" customFormat="false" ht="15" hidden="false" customHeight="false" outlineLevel="0" collapsed="false">
      <c r="A49" s="0" t="n">
        <v>6048</v>
      </c>
      <c r="B49" s="4" t="n">
        <v>46291</v>
      </c>
      <c r="C49" s="0" t="n">
        <v>4015</v>
      </c>
      <c r="D49" s="0" t="str">
        <f aca="false">IFERROR(INDEX(InventoryData[ItemName],MATCH(C49,InventoryData[ItemID],0)),"Not found")</f>
        <v>Notebook v1</v>
      </c>
      <c r="E49" s="0" t="str">
        <f aca="false">IFERROR(INDEX(InventoryData[Category],MATCH(C49,InventoryData[ItemID],0)),"")</f>
        <v>Office Supplies</v>
      </c>
      <c r="F49" s="0" t="str">
        <f aca="false">IFERROR(INDEX(InventoryData[Supplier],MATCH(C49,InventoryData[ItemID],0)),"")</f>
        <v>Leinster Office Supplies</v>
      </c>
      <c r="G49" s="0" t="n">
        <v>16</v>
      </c>
      <c r="H49" s="3" t="n">
        <f aca="false">IFERROR(INDEX(InventoryData[UnitCost],MATCH(C49,InventoryData[ItemID],0)),0)</f>
        <v>62.49</v>
      </c>
      <c r="I49" s="3" t="n">
        <f aca="false">G49*H49</f>
        <v>999.84</v>
      </c>
      <c r="J49" s="0" t="str">
        <f aca="false">TEXT(B49,"mmm-yyyy")</f>
        <v>Sep-2026</v>
      </c>
    </row>
    <row r="50" customFormat="false" ht="15" hidden="false" customHeight="false" outlineLevel="0" collapsed="false">
      <c r="A50" s="0" t="n">
        <v>6049</v>
      </c>
      <c r="B50" s="4" t="n">
        <v>46274</v>
      </c>
      <c r="C50" s="0" t="n">
        <v>4018</v>
      </c>
      <c r="D50" s="0" t="str">
        <f aca="false">IFERROR(INDEX(InventoryData[ItemName],MATCH(C50,InventoryData[ItemID],0)),"Not found")</f>
        <v>Printer Paper (Ream) v2</v>
      </c>
      <c r="E50" s="0" t="str">
        <f aca="false">IFERROR(INDEX(InventoryData[Category],MATCH(C50,InventoryData[ItemID],0)),"")</f>
        <v>Office Supplies</v>
      </c>
      <c r="F50" s="0" t="str">
        <f aca="false">IFERROR(INDEX(InventoryData[Supplier],MATCH(C50,InventoryData[ItemID],0)),"")</f>
        <v>Leinster Office Supplies</v>
      </c>
      <c r="G50" s="0" t="n">
        <v>12</v>
      </c>
      <c r="H50" s="3" t="n">
        <f aca="false">IFERROR(INDEX(InventoryData[UnitCost],MATCH(C50,InventoryData[ItemID],0)),0)</f>
        <v>183.57</v>
      </c>
      <c r="I50" s="3" t="n">
        <f aca="false">G50*H50</f>
        <v>2202.84</v>
      </c>
      <c r="J50" s="0" t="str">
        <f aca="false">TEXT(B50,"mmm-yyyy")</f>
        <v>Sep-2026</v>
      </c>
    </row>
    <row r="51" customFormat="false" ht="15" hidden="false" customHeight="false" outlineLevel="0" collapsed="false">
      <c r="A51" s="0" t="n">
        <v>6050</v>
      </c>
      <c r="B51" s="4" t="n">
        <v>46243</v>
      </c>
      <c r="C51" s="0" t="n">
        <v>4049</v>
      </c>
      <c r="D51" s="0" t="str">
        <f aca="false">IFERROR(INDEX(InventoryData[ItemName],MATCH(C51,InventoryData[ItemID],0)),"Not found")</f>
        <v>Disinfectant Spray v1</v>
      </c>
      <c r="E51" s="0" t="str">
        <f aca="false">IFERROR(INDEX(InventoryData[Category],MATCH(C51,InventoryData[ItemID],0)),"")</f>
        <v>Cleaning Supplies</v>
      </c>
      <c r="F51" s="0" t="str">
        <f aca="false">IFERROR(INDEX(InventoryData[Supplier],MATCH(C51,InventoryData[ItemID],0)),"")</f>
        <v>GreenClean Wholesale</v>
      </c>
      <c r="G51" s="0" t="n">
        <v>18</v>
      </c>
      <c r="H51" s="3" t="n">
        <f aca="false">IFERROR(INDEX(InventoryData[UnitCost],MATCH(C51,InventoryData[ItemID],0)),0)</f>
        <v>323.81</v>
      </c>
      <c r="I51" s="3" t="n">
        <f aca="false">G51*H51</f>
        <v>5828.58</v>
      </c>
      <c r="J51" s="0" t="str">
        <f aca="false">TEXT(B51,"mmm-yyyy")</f>
        <v>Aug-2026</v>
      </c>
    </row>
    <row r="52" customFormat="false" ht="15" hidden="false" customHeight="false" outlineLevel="0" collapsed="false">
      <c r="A52" s="0" t="n">
        <v>6051</v>
      </c>
      <c r="B52" s="4" t="n">
        <v>46201</v>
      </c>
      <c r="C52" s="0" t="n">
        <v>4044</v>
      </c>
      <c r="D52" s="0" t="str">
        <f aca="false">IFERROR(INDEX(InventoryData[ItemName],MATCH(C52,InventoryData[ItemID],0)),"Not found")</f>
        <v>Shipping Box (Large) v2</v>
      </c>
      <c r="E52" s="0" t="str">
        <f aca="false">IFERROR(INDEX(InventoryData[Category],MATCH(C52,InventoryData[ItemID],0)),"")</f>
        <v>Packaging</v>
      </c>
      <c r="F52" s="0" t="str">
        <f aca="false">IFERROR(INDEX(InventoryData[Supplier],MATCH(C52,InventoryData[ItemID],0)),"")</f>
        <v>Shannon Packaging Ltd</v>
      </c>
      <c r="G52" s="0" t="n">
        <v>26</v>
      </c>
      <c r="H52" s="3" t="n">
        <f aca="false">IFERROR(INDEX(InventoryData[UnitCost],MATCH(C52,InventoryData[ItemID],0)),0)</f>
        <v>217.54</v>
      </c>
      <c r="I52" s="3" t="n">
        <f aca="false">G52*H52</f>
        <v>5656.04</v>
      </c>
      <c r="J52" s="0" t="str">
        <f aca="false">TEXT(B52,"mmm-yyyy")</f>
        <v>Jun-2026</v>
      </c>
    </row>
    <row r="53" customFormat="false" ht="15" hidden="false" customHeight="false" outlineLevel="0" collapsed="false">
      <c r="A53" s="0" t="n">
        <v>6052</v>
      </c>
      <c r="B53" s="4" t="n">
        <v>46178</v>
      </c>
      <c r="C53" s="0" t="n">
        <v>4035</v>
      </c>
      <c r="D53" s="0" t="str">
        <f aca="false">IFERROR(INDEX(InventoryData[ItemName],MATCH(C53,InventoryData[ItemID],0)),"Not found")</f>
        <v>Office Suite License v1</v>
      </c>
      <c r="E53" s="0" t="str">
        <f aca="false">IFERROR(INDEX(InventoryData[Category],MATCH(C53,InventoryData[ItemID],0)),"")</f>
        <v>Software</v>
      </c>
      <c r="F53" s="0" t="str">
        <f aca="false">IFERROR(INDEX(InventoryData[Supplier],MATCH(C53,InventoryData[ItemID],0)),"")</f>
        <v>CloudSoft Licensing</v>
      </c>
      <c r="G53" s="0" t="n">
        <v>42</v>
      </c>
      <c r="H53" s="3" t="n">
        <f aca="false">IFERROR(INDEX(InventoryData[UnitCost],MATCH(C53,InventoryData[ItemID],0)),0)</f>
        <v>227.58</v>
      </c>
      <c r="I53" s="3" t="n">
        <f aca="false">G53*H53</f>
        <v>9558.36</v>
      </c>
      <c r="J53" s="0" t="str">
        <f aca="false">TEXT(B53,"mmm-yyyy")</f>
        <v>Jun-2026</v>
      </c>
    </row>
    <row r="54" customFormat="false" ht="15" hidden="false" customHeight="false" outlineLevel="0" collapsed="false">
      <c r="A54" s="0" t="n">
        <v>6053</v>
      </c>
      <c r="B54" s="4" t="n">
        <v>46158</v>
      </c>
      <c r="C54" s="0" t="n">
        <v>4045</v>
      </c>
      <c r="D54" s="0" t="str">
        <f aca="false">IFERROR(INDEX(InventoryData[ItemName],MATCH(C54,InventoryData[ItemID],0)),"Not found")</f>
        <v>Shipping Box (Large) v3</v>
      </c>
      <c r="E54" s="0" t="str">
        <f aca="false">IFERROR(INDEX(InventoryData[Category],MATCH(C54,InventoryData[ItemID],0)),"")</f>
        <v>Packaging</v>
      </c>
      <c r="F54" s="0" t="str">
        <f aca="false">IFERROR(INDEX(InventoryData[Supplier],MATCH(C54,InventoryData[ItemID],0)),"")</f>
        <v>Shannon Packaging Ltd</v>
      </c>
      <c r="G54" s="0" t="n">
        <v>30</v>
      </c>
      <c r="H54" s="3" t="n">
        <f aca="false">IFERROR(INDEX(InventoryData[UnitCost],MATCH(C54,InventoryData[ItemID],0)),0)</f>
        <v>324.98</v>
      </c>
      <c r="I54" s="3" t="n">
        <f aca="false">G54*H54</f>
        <v>9749.4</v>
      </c>
      <c r="J54" s="0" t="str">
        <f aca="false">TEXT(B54,"mmm-yyyy")</f>
        <v>May-2026</v>
      </c>
    </row>
    <row r="55" customFormat="false" ht="15" hidden="false" customHeight="false" outlineLevel="0" collapsed="false">
      <c r="A55" s="0" t="n">
        <v>6054</v>
      </c>
      <c r="B55" s="4" t="n">
        <v>46274</v>
      </c>
      <c r="C55" s="0" t="n">
        <v>4004</v>
      </c>
      <c r="D55" s="0" t="str">
        <f aca="false">IFERROR(INDEX(InventoryData[ItemName],MATCH(C55,InventoryData[ItemID],0)),"Not found")</f>
        <v>Docking Station v1</v>
      </c>
      <c r="E55" s="0" t="str">
        <f aca="false">IFERROR(INDEX(InventoryData[Category],MATCH(C55,InventoryData[ItemID],0)),"")</f>
        <v>Electronics</v>
      </c>
      <c r="F55" s="0" t="str">
        <f aca="false">IFERROR(INDEX(InventoryData[Supplier],MATCH(C55,InventoryData[ItemID],0)),"")</f>
        <v>Dublin Tech Distributors</v>
      </c>
      <c r="G55" s="0" t="n">
        <v>54</v>
      </c>
      <c r="H55" s="3" t="n">
        <f aca="false">IFERROR(INDEX(InventoryData[UnitCost],MATCH(C55,InventoryData[ItemID],0)),0)</f>
        <v>170.96</v>
      </c>
      <c r="I55" s="3" t="n">
        <f aca="false">G55*H55</f>
        <v>9231.84</v>
      </c>
      <c r="J55" s="0" t="str">
        <f aca="false">TEXT(B55,"mmm-yyyy")</f>
        <v>Sep-2026</v>
      </c>
    </row>
    <row r="56" customFormat="false" ht="15" hidden="false" customHeight="false" outlineLevel="0" collapsed="false">
      <c r="A56" s="0" t="n">
        <v>6055</v>
      </c>
      <c r="B56" s="4" t="n">
        <v>46248</v>
      </c>
      <c r="C56" s="0" t="n">
        <v>4005</v>
      </c>
      <c r="D56" s="0" t="str">
        <f aca="false">IFERROR(INDEX(InventoryData[ItemName],MATCH(C56,InventoryData[ItemID],0)),"Not found")</f>
        <v>Docking Station v2</v>
      </c>
      <c r="E56" s="0" t="str">
        <f aca="false">IFERROR(INDEX(InventoryData[Category],MATCH(C56,InventoryData[ItemID],0)),"")</f>
        <v>Electronics</v>
      </c>
      <c r="F56" s="0" t="str">
        <f aca="false">IFERROR(INDEX(InventoryData[Supplier],MATCH(C56,InventoryData[ItemID],0)),"")</f>
        <v>Dublin Tech Distributors</v>
      </c>
      <c r="G56" s="0" t="n">
        <v>27</v>
      </c>
      <c r="H56" s="3" t="n">
        <f aca="false">IFERROR(INDEX(InventoryData[UnitCost],MATCH(C56,InventoryData[ItemID],0)),0)</f>
        <v>252.99</v>
      </c>
      <c r="I56" s="3" t="n">
        <f aca="false">G56*H56</f>
        <v>6830.73</v>
      </c>
      <c r="J56" s="0" t="str">
        <f aca="false">TEXT(B56,"mmm-yyyy")</f>
        <v>Aug-2026</v>
      </c>
    </row>
    <row r="57" customFormat="false" ht="15" hidden="false" customHeight="false" outlineLevel="0" collapsed="false">
      <c r="A57" s="0" t="n">
        <v>6056</v>
      </c>
      <c r="B57" s="4" t="n">
        <v>46286</v>
      </c>
      <c r="C57" s="0" t="n">
        <v>4006</v>
      </c>
      <c r="D57" s="0" t="str">
        <f aca="false">IFERROR(INDEX(InventoryData[ItemName],MATCH(C57,InventoryData[ItemID],0)),"Not found")</f>
        <v>Docking Station v3</v>
      </c>
      <c r="E57" s="0" t="str">
        <f aca="false">IFERROR(INDEX(InventoryData[Category],MATCH(C57,InventoryData[ItemID],0)),"")</f>
        <v>Electronics</v>
      </c>
      <c r="F57" s="0" t="str">
        <f aca="false">IFERROR(INDEX(InventoryData[Supplier],MATCH(C57,InventoryData[ItemID],0)),"")</f>
        <v>Dublin Tech Distributors</v>
      </c>
      <c r="G57" s="0" t="n">
        <v>26</v>
      </c>
      <c r="H57" s="3" t="n">
        <f aca="false">IFERROR(INDEX(InventoryData[UnitCost],MATCH(C57,InventoryData[ItemID],0)),0)</f>
        <v>159.88</v>
      </c>
      <c r="I57" s="3" t="n">
        <f aca="false">G57*H57</f>
        <v>4156.88</v>
      </c>
      <c r="J57" s="0" t="str">
        <f aca="false">TEXT(B57,"mmm-yyyy")</f>
        <v>Sep-2026</v>
      </c>
    </row>
    <row r="58" customFormat="false" ht="15" hidden="false" customHeight="false" outlineLevel="0" collapsed="false">
      <c r="A58" s="0" t="n">
        <v>6057</v>
      </c>
      <c r="B58" s="4" t="n">
        <v>46285</v>
      </c>
      <c r="C58" s="0" t="n">
        <v>4015</v>
      </c>
      <c r="D58" s="0" t="str">
        <f aca="false">IFERROR(INDEX(InventoryData[ItemName],MATCH(C58,InventoryData[ItemID],0)),"Not found")</f>
        <v>Notebook v1</v>
      </c>
      <c r="E58" s="0" t="str">
        <f aca="false">IFERROR(INDEX(InventoryData[Category],MATCH(C58,InventoryData[ItemID],0)),"")</f>
        <v>Office Supplies</v>
      </c>
      <c r="F58" s="0" t="str">
        <f aca="false">IFERROR(INDEX(InventoryData[Supplier],MATCH(C58,InventoryData[ItemID],0)),"")</f>
        <v>Leinster Office Supplies</v>
      </c>
      <c r="G58" s="0" t="n">
        <v>14</v>
      </c>
      <c r="H58" s="3" t="n">
        <f aca="false">IFERROR(INDEX(InventoryData[UnitCost],MATCH(C58,InventoryData[ItemID],0)),0)</f>
        <v>62.49</v>
      </c>
      <c r="I58" s="3" t="n">
        <f aca="false">G58*H58</f>
        <v>874.86</v>
      </c>
      <c r="J58" s="0" t="str">
        <f aca="false">TEXT(B58,"mmm-yyyy")</f>
        <v>Sep-2026</v>
      </c>
    </row>
    <row r="59" customFormat="false" ht="15" hidden="false" customHeight="false" outlineLevel="0" collapsed="false">
      <c r="A59" s="0" t="n">
        <v>6058</v>
      </c>
      <c r="B59" s="4" t="n">
        <v>46231</v>
      </c>
      <c r="C59" s="0" t="n">
        <v>4008</v>
      </c>
      <c r="D59" s="0" t="str">
        <f aca="false">IFERROR(INDEX(InventoryData[ItemName],MATCH(C59,InventoryData[ItemID],0)),"Not found")</f>
        <v>Headset v1</v>
      </c>
      <c r="E59" s="0" t="str">
        <f aca="false">IFERROR(INDEX(InventoryData[Category],MATCH(C59,InventoryData[ItemID],0)),"")</f>
        <v>Electronics</v>
      </c>
      <c r="F59" s="0" t="str">
        <f aca="false">IFERROR(INDEX(InventoryData[Supplier],MATCH(C59,InventoryData[ItemID],0)),"")</f>
        <v>Dublin Tech Distributors</v>
      </c>
      <c r="G59" s="0" t="n">
        <v>39</v>
      </c>
      <c r="H59" s="3" t="n">
        <f aca="false">IFERROR(INDEX(InventoryData[UnitCost],MATCH(C59,InventoryData[ItemID],0)),0)</f>
        <v>326.82</v>
      </c>
      <c r="I59" s="3" t="n">
        <f aca="false">G59*H59</f>
        <v>12745.98</v>
      </c>
      <c r="J59" s="0" t="str">
        <f aca="false">TEXT(B59,"mmm-yyyy")</f>
        <v>Jul-2026</v>
      </c>
    </row>
    <row r="60" customFormat="false" ht="15" hidden="false" customHeight="false" outlineLevel="0" collapsed="false">
      <c r="A60" s="0" t="n">
        <v>6059</v>
      </c>
      <c r="B60" s="4" t="n">
        <v>46276</v>
      </c>
      <c r="C60" s="0" t="n">
        <v>4036</v>
      </c>
      <c r="D60" s="0" t="str">
        <f aca="false">IFERROR(INDEX(InventoryData[ItemName],MATCH(C60,InventoryData[ItemID],0)),"Not found")</f>
        <v>Antivirus License v1</v>
      </c>
      <c r="E60" s="0" t="str">
        <f aca="false">IFERROR(INDEX(InventoryData[Category],MATCH(C60,InventoryData[ItemID],0)),"")</f>
        <v>Software</v>
      </c>
      <c r="F60" s="0" t="str">
        <f aca="false">IFERROR(INDEX(InventoryData[Supplier],MATCH(C60,InventoryData[ItemID],0)),"")</f>
        <v>CloudSoft Licensing</v>
      </c>
      <c r="G60" s="0" t="n">
        <v>36</v>
      </c>
      <c r="H60" s="3" t="n">
        <f aca="false">IFERROR(INDEX(InventoryData[UnitCost],MATCH(C60,InventoryData[ItemID],0)),0)</f>
        <v>349.98</v>
      </c>
      <c r="I60" s="3" t="n">
        <f aca="false">G60*H60</f>
        <v>12599.28</v>
      </c>
      <c r="J60" s="0" t="str">
        <f aca="false">TEXT(B60,"mmm-yyyy")</f>
        <v>Sep-2026</v>
      </c>
    </row>
    <row r="61" customFormat="false" ht="15" hidden="false" customHeight="false" outlineLevel="0" collapsed="false">
      <c r="A61" s="0" t="n">
        <v>6060</v>
      </c>
      <c r="B61" s="4" t="n">
        <v>46223</v>
      </c>
      <c r="C61" s="0" t="n">
        <v>4009</v>
      </c>
      <c r="D61" s="0" t="str">
        <f aca="false">IFERROR(INDEX(InventoryData[ItemName],MATCH(C61,InventoryData[ItemID],0)),"Not found")</f>
        <v>Headset v2</v>
      </c>
      <c r="E61" s="0" t="str">
        <f aca="false">IFERROR(INDEX(InventoryData[Category],MATCH(C61,InventoryData[ItemID],0)),"")</f>
        <v>Electronics</v>
      </c>
      <c r="F61" s="0" t="str">
        <f aca="false">IFERROR(INDEX(InventoryData[Supplier],MATCH(C61,InventoryData[ItemID],0)),"")</f>
        <v>Dublin Tech Distributors</v>
      </c>
      <c r="G61" s="0" t="n">
        <v>12</v>
      </c>
      <c r="H61" s="3" t="n">
        <f aca="false">IFERROR(INDEX(InventoryData[UnitCost],MATCH(C61,InventoryData[ItemID],0)),0)</f>
        <v>76.77</v>
      </c>
      <c r="I61" s="3" t="n">
        <f aca="false">G61*H61</f>
        <v>921.24</v>
      </c>
      <c r="J61" s="0" t="str">
        <f aca="false">TEXT(B61,"mmm-yyyy")</f>
        <v>Jul-2026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5" t="s">
        <v>105</v>
      </c>
    </row>
    <row r="3" customFormat="false" ht="15" hidden="false" customHeight="false" outlineLevel="0" collapsed="false">
      <c r="A3" s="6" t="s">
        <v>106</v>
      </c>
    </row>
    <row r="4" customFormat="false" ht="15" hidden="false" customHeight="false" outlineLevel="0" collapsed="false">
      <c r="A4" s="0" t="s">
        <v>36</v>
      </c>
      <c r="B4" s="7" t="n">
        <v>46113</v>
      </c>
      <c r="C4" s="7" t="n">
        <v>46143</v>
      </c>
      <c r="D4" s="7" t="n">
        <v>46174</v>
      </c>
      <c r="E4" s="7" t="n">
        <v>46204</v>
      </c>
      <c r="F4" s="7" t="n">
        <v>46235</v>
      </c>
      <c r="G4" s="7" t="n">
        <v>46266</v>
      </c>
    </row>
    <row r="5" customFormat="false" ht="15" hidden="false" customHeight="false" outlineLevel="0" collapsed="false">
      <c r="A5" s="0" t="s">
        <v>2</v>
      </c>
      <c r="B5" s="8" t="n">
        <v>5688</v>
      </c>
      <c r="C5" s="8" t="n">
        <v>3669</v>
      </c>
      <c r="D5" s="8" t="n">
        <v>2766</v>
      </c>
      <c r="E5" s="8" t="n">
        <v>3130</v>
      </c>
      <c r="F5" s="8" t="n">
        <v>2353</v>
      </c>
      <c r="G5" s="8" t="n">
        <v>3412</v>
      </c>
    </row>
    <row r="6" customFormat="false" ht="15" hidden="false" customHeight="false" outlineLevel="0" collapsed="false">
      <c r="A6" s="0" t="s">
        <v>4</v>
      </c>
      <c r="B6" s="8" t="n">
        <v>4184</v>
      </c>
      <c r="C6" s="8" t="n">
        <v>4135</v>
      </c>
      <c r="D6" s="8" t="n">
        <v>7316</v>
      </c>
      <c r="E6" s="8" t="n">
        <v>4030</v>
      </c>
      <c r="F6" s="8" t="n">
        <v>5501</v>
      </c>
      <c r="G6" s="8" t="n">
        <v>3245</v>
      </c>
    </row>
    <row r="7" customFormat="false" ht="15" hidden="false" customHeight="false" outlineLevel="0" collapsed="false">
      <c r="A7" s="0" t="s">
        <v>6</v>
      </c>
      <c r="B7" s="8" t="n">
        <v>4429</v>
      </c>
      <c r="C7" s="8" t="n">
        <v>2127</v>
      </c>
      <c r="D7" s="8" t="n">
        <v>3753</v>
      </c>
      <c r="E7" s="8" t="n">
        <v>2107</v>
      </c>
      <c r="F7" s="8" t="n">
        <v>7132</v>
      </c>
      <c r="G7" s="8" t="n">
        <v>5857</v>
      </c>
    </row>
    <row r="8" customFormat="false" ht="15" hidden="false" customHeight="false" outlineLevel="0" collapsed="false">
      <c r="A8" s="0" t="s">
        <v>8</v>
      </c>
      <c r="B8" s="8" t="n">
        <v>3326</v>
      </c>
      <c r="C8" s="8" t="n">
        <v>5323</v>
      </c>
      <c r="D8" s="8" t="n">
        <v>8542</v>
      </c>
      <c r="E8" s="8" t="n">
        <v>2744</v>
      </c>
      <c r="F8" s="8" t="n">
        <v>7732</v>
      </c>
      <c r="G8" s="8" t="n">
        <v>5025</v>
      </c>
    </row>
    <row r="9" customFormat="false" ht="15" hidden="false" customHeight="false" outlineLevel="0" collapsed="false">
      <c r="A9" s="0" t="s">
        <v>10</v>
      </c>
      <c r="B9" s="8" t="n">
        <v>5465</v>
      </c>
      <c r="C9" s="8" t="n">
        <v>7842</v>
      </c>
      <c r="D9" s="8" t="n">
        <v>4752</v>
      </c>
      <c r="E9" s="8" t="n">
        <v>5547</v>
      </c>
      <c r="F9" s="8" t="n">
        <v>6814</v>
      </c>
      <c r="G9" s="8" t="n">
        <v>8877</v>
      </c>
    </row>
    <row r="10" customFormat="false" ht="15" hidden="false" customHeight="false" outlineLevel="0" collapsed="false">
      <c r="A10" s="0" t="s">
        <v>12</v>
      </c>
      <c r="B10" s="8" t="n">
        <v>4399</v>
      </c>
      <c r="C10" s="8" t="n">
        <v>7826</v>
      </c>
      <c r="D10" s="8" t="n">
        <v>6947</v>
      </c>
      <c r="E10" s="8" t="n">
        <v>6452</v>
      </c>
      <c r="F10" s="8" t="n">
        <v>4833</v>
      </c>
      <c r="G10" s="8" t="n">
        <v>4433</v>
      </c>
    </row>
    <row r="12" customFormat="false" ht="15" hidden="false" customHeight="false" outlineLevel="0" collapsed="false">
      <c r="A12" s="6" t="s">
        <v>107</v>
      </c>
    </row>
    <row r="13" customFormat="false" ht="15" hidden="false" customHeight="false" outlineLevel="0" collapsed="false">
      <c r="A13" s="0" t="s">
        <v>36</v>
      </c>
      <c r="B13" s="7" t="n">
        <v>46113</v>
      </c>
      <c r="C13" s="7" t="n">
        <v>46143</v>
      </c>
      <c r="D13" s="7" t="n">
        <v>46174</v>
      </c>
      <c r="E13" s="7" t="n">
        <v>46204</v>
      </c>
      <c r="F13" s="7" t="n">
        <v>46235</v>
      </c>
      <c r="G13" s="7" t="n">
        <v>46266</v>
      </c>
    </row>
    <row r="14" customFormat="false" ht="15" hidden="false" customHeight="false" outlineLevel="0" collapsed="false">
      <c r="A14" s="0" t="s">
        <v>2</v>
      </c>
      <c r="B14" s="9" t="n">
        <f aca="false">SUMIFS(POData[TotalCost],POData[Category],$A14,POData[MonthKey],"Apr-2026")</f>
        <v>10045.26</v>
      </c>
      <c r="C14" s="9" t="n">
        <f aca="false">SUMIFS(POData[TotalCost],POData[Category],$A14,POData[MonthKey],"May-2026")</f>
        <v>15551.37</v>
      </c>
      <c r="D14" s="9" t="n">
        <f aca="false">SUMIFS(POData[TotalCost],POData[Category],$A14,POData[MonthKey],"Jun-2026")</f>
        <v>27749.29</v>
      </c>
      <c r="E14" s="9" t="n">
        <f aca="false">SUMIFS(POData[TotalCost],POData[Category],$A14,POData[MonthKey],"Jul-2026")</f>
        <v>21686.36</v>
      </c>
      <c r="F14" s="9" t="n">
        <f aca="false">SUMIFS(POData[TotalCost],POData[Category],$A14,POData[MonthKey],"Aug-2026")</f>
        <v>48491.03</v>
      </c>
      <c r="G14" s="9" t="n">
        <f aca="false">SUMIFS(POData[TotalCost],POData[Category],$A14,POData[MonthKey],"Sep-2026")</f>
        <v>34118.7</v>
      </c>
    </row>
    <row r="15" customFormat="false" ht="15" hidden="false" customHeight="false" outlineLevel="0" collapsed="false">
      <c r="A15" s="0" t="s">
        <v>4</v>
      </c>
      <c r="B15" s="9" t="n">
        <f aca="false">SUMIFS(POData[TotalCost],POData[Category],$A15,POData[MonthKey],"Apr-2026")</f>
        <v>0</v>
      </c>
      <c r="C15" s="9" t="n">
        <f aca="false">SUMIFS(POData[TotalCost],POData[Category],$A15,POData[MonthKey],"May-2026")</f>
        <v>2479.68</v>
      </c>
      <c r="D15" s="9" t="n">
        <f aca="false">SUMIFS(POData[TotalCost],POData[Category],$A15,POData[MonthKey],"Jun-2026")</f>
        <v>2211.6</v>
      </c>
      <c r="E15" s="9" t="n">
        <f aca="false">SUMIFS(POData[TotalCost],POData[Category],$A15,POData[MonthKey],"Jul-2026")</f>
        <v>2472.66</v>
      </c>
      <c r="F15" s="9" t="n">
        <f aca="false">SUMIFS(POData[TotalCost],POData[Category],$A15,POData[MonthKey],"Aug-2026")</f>
        <v>2333.1</v>
      </c>
      <c r="G15" s="9" t="n">
        <f aca="false">SUMIFS(POData[TotalCost],POData[Category],$A15,POData[MonthKey],"Sep-2026")</f>
        <v>7039.38</v>
      </c>
    </row>
    <row r="16" customFormat="false" ht="15" hidden="false" customHeight="false" outlineLevel="0" collapsed="false">
      <c r="A16" s="0" t="s">
        <v>6</v>
      </c>
      <c r="B16" s="9" t="n">
        <f aca="false">SUMIFS(POData[TotalCost],POData[Category],$A16,POData[MonthKey],"Apr-2026")</f>
        <v>0</v>
      </c>
      <c r="C16" s="9" t="n">
        <f aca="false">SUMIFS(POData[TotalCost],POData[Category],$A16,POData[MonthKey],"May-2026")</f>
        <v>18744.58</v>
      </c>
      <c r="D16" s="9" t="n">
        <f aca="false">SUMIFS(POData[TotalCost],POData[Category],$A16,POData[MonthKey],"Jun-2026")</f>
        <v>777.78</v>
      </c>
      <c r="E16" s="9" t="n">
        <f aca="false">SUMIFS(POData[TotalCost],POData[Category],$A16,POData[MonthKey],"Jul-2026")</f>
        <v>2074.08</v>
      </c>
      <c r="F16" s="9" t="n">
        <f aca="false">SUMIFS(POData[TotalCost],POData[Category],$A16,POData[MonthKey],"Aug-2026")</f>
        <v>0</v>
      </c>
      <c r="G16" s="9" t="n">
        <f aca="false">SUMIFS(POData[TotalCost],POData[Category],$A16,POData[MonthKey],"Sep-2026")</f>
        <v>17548.96</v>
      </c>
    </row>
    <row r="17" customFormat="false" ht="15" hidden="false" customHeight="false" outlineLevel="0" collapsed="false">
      <c r="A17" s="0" t="s">
        <v>8</v>
      </c>
      <c r="B17" s="9" t="n">
        <f aca="false">SUMIFS(POData[TotalCost],POData[Category],$A17,POData[MonthKey],"Apr-2026")</f>
        <v>0</v>
      </c>
      <c r="C17" s="9" t="n">
        <f aca="false">SUMIFS(POData[TotalCost],POData[Category],$A17,POData[MonthKey],"May-2026")</f>
        <v>0</v>
      </c>
      <c r="D17" s="9" t="n">
        <f aca="false">SUMIFS(POData[TotalCost],POData[Category],$A17,POData[MonthKey],"Jun-2026")</f>
        <v>35743.31</v>
      </c>
      <c r="E17" s="9" t="n">
        <f aca="false">SUMIFS(POData[TotalCost],POData[Category],$A17,POData[MonthKey],"Jul-2026")</f>
        <v>8192.88</v>
      </c>
      <c r="F17" s="9" t="n">
        <f aca="false">SUMIFS(POData[TotalCost],POData[Category],$A17,POData[MonthKey],"Aug-2026")</f>
        <v>0</v>
      </c>
      <c r="G17" s="9" t="n">
        <f aca="false">SUMIFS(POData[TotalCost],POData[Category],$A17,POData[MonthKey],"Sep-2026")</f>
        <v>28092.03</v>
      </c>
    </row>
    <row r="18" customFormat="false" ht="15" hidden="false" customHeight="false" outlineLevel="0" collapsed="false">
      <c r="A18" s="0" t="s">
        <v>10</v>
      </c>
      <c r="B18" s="9" t="n">
        <f aca="false">SUMIFS(POData[TotalCost],POData[Category],$A18,POData[MonthKey],"Apr-2026")</f>
        <v>3180</v>
      </c>
      <c r="C18" s="9" t="n">
        <f aca="false">SUMIFS(POData[TotalCost],POData[Category],$A18,POData[MonthKey],"May-2026")</f>
        <v>32498</v>
      </c>
      <c r="D18" s="9" t="n">
        <f aca="false">SUMIFS(POData[TotalCost],POData[Category],$A18,POData[MonthKey],"Jun-2026")</f>
        <v>11544.49</v>
      </c>
      <c r="E18" s="9" t="n">
        <f aca="false">SUMIFS(POData[TotalCost],POData[Category],$A18,POData[MonthKey],"Jul-2026")</f>
        <v>0</v>
      </c>
      <c r="F18" s="9" t="n">
        <f aca="false">SUMIFS(POData[TotalCost],POData[Category],$A18,POData[MonthKey],"Aug-2026")</f>
        <v>38558.18</v>
      </c>
      <c r="G18" s="9" t="n">
        <f aca="false">SUMIFS(POData[TotalCost],POData[Category],$A18,POData[MonthKey],"Sep-2026")</f>
        <v>25115.18</v>
      </c>
    </row>
    <row r="19" customFormat="false" ht="15" hidden="false" customHeight="false" outlineLevel="0" collapsed="false">
      <c r="A19" s="0" t="s">
        <v>12</v>
      </c>
      <c r="B19" s="9" t="n">
        <f aca="false">SUMIFS(POData[TotalCost],POData[Category],$A19,POData[MonthKey],"Apr-2026")</f>
        <v>3299.7</v>
      </c>
      <c r="C19" s="9" t="n">
        <f aca="false">SUMIFS(POData[TotalCost],POData[Category],$A19,POData[MonthKey],"May-2026")</f>
        <v>15219.07</v>
      </c>
      <c r="D19" s="9" t="n">
        <f aca="false">SUMIFS(POData[TotalCost],POData[Category],$A19,POData[MonthKey],"Jun-2026")</f>
        <v>0</v>
      </c>
      <c r="E19" s="9" t="n">
        <f aca="false">SUMIFS(POData[TotalCost],POData[Category],$A19,POData[MonthKey],"Jul-2026")</f>
        <v>0</v>
      </c>
      <c r="F19" s="9" t="n">
        <f aca="false">SUMIFS(POData[TotalCost],POData[Category],$A19,POData[MonthKey],"Aug-2026")</f>
        <v>5828.58</v>
      </c>
      <c r="G19" s="9" t="n">
        <f aca="false">SUMIFS(POData[TotalCost],POData[Category],$A19,POData[MonthKey],"Sep-2026")</f>
        <v>0</v>
      </c>
    </row>
    <row r="20" customFormat="false" ht="15" hidden="false" customHeight="false" outlineLevel="0" collapsed="false">
      <c r="A20" s="6" t="s">
        <v>108</v>
      </c>
    </row>
    <row r="21" customFormat="false" ht="15" hidden="false" customHeight="false" outlineLevel="0" collapsed="false">
      <c r="A21" s="0" t="s">
        <v>36</v>
      </c>
      <c r="B21" s="7" t="n">
        <v>46113</v>
      </c>
      <c r="C21" s="7" t="n">
        <v>46143</v>
      </c>
      <c r="D21" s="7" t="n">
        <v>46174</v>
      </c>
      <c r="E21" s="7" t="n">
        <v>46204</v>
      </c>
      <c r="F21" s="7" t="n">
        <v>46235</v>
      </c>
      <c r="G21" s="7" t="n">
        <v>46266</v>
      </c>
    </row>
    <row r="22" customFormat="false" ht="15" hidden="false" customHeight="false" outlineLevel="0" collapsed="false">
      <c r="A22" s="0" t="s">
        <v>2</v>
      </c>
      <c r="B22" s="10" t="n">
        <f aca="false">B5-B14</f>
        <v>-4357.26</v>
      </c>
      <c r="C22" s="10" t="n">
        <f aca="false">C5-C14</f>
        <v>-11882.37</v>
      </c>
      <c r="D22" s="10" t="n">
        <f aca="false">D5-D14</f>
        <v>-24983.29</v>
      </c>
      <c r="E22" s="10" t="n">
        <f aca="false">E5-E14</f>
        <v>-18556.36</v>
      </c>
      <c r="F22" s="10" t="n">
        <f aca="false">F5-F14</f>
        <v>-46138.03</v>
      </c>
      <c r="G22" s="10" t="n">
        <f aca="false">G5-G14</f>
        <v>-30706.7</v>
      </c>
    </row>
    <row r="23" customFormat="false" ht="15" hidden="false" customHeight="false" outlineLevel="0" collapsed="false">
      <c r="A23" s="0" t="s">
        <v>4</v>
      </c>
      <c r="B23" s="10" t="n">
        <f aca="false">B6-B15</f>
        <v>4184</v>
      </c>
      <c r="C23" s="10" t="n">
        <f aca="false">C6-C15</f>
        <v>1655.32</v>
      </c>
      <c r="D23" s="10" t="n">
        <f aca="false">D6-D15</f>
        <v>5104.4</v>
      </c>
      <c r="E23" s="10" t="n">
        <f aca="false">E6-E15</f>
        <v>1557.34</v>
      </c>
      <c r="F23" s="10" t="n">
        <f aca="false">F6-F15</f>
        <v>3167.9</v>
      </c>
      <c r="G23" s="10" t="n">
        <f aca="false">G6-G15</f>
        <v>-3794.38</v>
      </c>
    </row>
    <row r="24" customFormat="false" ht="15" hidden="false" customHeight="false" outlineLevel="0" collapsed="false">
      <c r="A24" s="0" t="s">
        <v>6</v>
      </c>
      <c r="B24" s="10" t="n">
        <f aca="false">B7-B16</f>
        <v>4429</v>
      </c>
      <c r="C24" s="10" t="n">
        <f aca="false">C7-C16</f>
        <v>-16617.58</v>
      </c>
      <c r="D24" s="10" t="n">
        <f aca="false">D7-D16</f>
        <v>2975.22</v>
      </c>
      <c r="E24" s="10" t="n">
        <f aca="false">E7-E16</f>
        <v>32.9200000000001</v>
      </c>
      <c r="F24" s="10" t="n">
        <f aca="false">F7-F16</f>
        <v>7132</v>
      </c>
      <c r="G24" s="10" t="n">
        <f aca="false">G7-G16</f>
        <v>-11691.96</v>
      </c>
    </row>
    <row r="25" customFormat="false" ht="15" hidden="false" customHeight="false" outlineLevel="0" collapsed="false">
      <c r="A25" s="0" t="s">
        <v>8</v>
      </c>
      <c r="B25" s="10" t="n">
        <f aca="false">B8-B17</f>
        <v>3326</v>
      </c>
      <c r="C25" s="10" t="n">
        <f aca="false">C8-C17</f>
        <v>5323</v>
      </c>
      <c r="D25" s="10" t="n">
        <f aca="false">D8-D17</f>
        <v>-27201.31</v>
      </c>
      <c r="E25" s="10" t="n">
        <f aca="false">E8-E17</f>
        <v>-5448.88</v>
      </c>
      <c r="F25" s="10" t="n">
        <f aca="false">F8-F17</f>
        <v>7732</v>
      </c>
      <c r="G25" s="10" t="n">
        <f aca="false">G8-G17</f>
        <v>-23067.03</v>
      </c>
    </row>
    <row r="26" customFormat="false" ht="15" hidden="false" customHeight="false" outlineLevel="0" collapsed="false">
      <c r="A26" s="0" t="s">
        <v>10</v>
      </c>
      <c r="B26" s="10" t="n">
        <f aca="false">B9-B18</f>
        <v>2285</v>
      </c>
      <c r="C26" s="10" t="n">
        <f aca="false">C9-C18</f>
        <v>-24656</v>
      </c>
      <c r="D26" s="10" t="n">
        <f aca="false">D9-D18</f>
        <v>-6792.49</v>
      </c>
      <c r="E26" s="10" t="n">
        <f aca="false">E9-E18</f>
        <v>5547</v>
      </c>
      <c r="F26" s="10" t="n">
        <f aca="false">F9-F18</f>
        <v>-31744.18</v>
      </c>
      <c r="G26" s="10" t="n">
        <f aca="false">G9-G18</f>
        <v>-16238.18</v>
      </c>
    </row>
    <row r="27" customFormat="false" ht="15" hidden="false" customHeight="false" outlineLevel="0" collapsed="false">
      <c r="A27" s="0" t="s">
        <v>12</v>
      </c>
      <c r="B27" s="10" t="n">
        <f aca="false">B10-B19</f>
        <v>1099.3</v>
      </c>
      <c r="C27" s="10" t="n">
        <f aca="false">C10-C19</f>
        <v>-7393.07</v>
      </c>
      <c r="D27" s="10" t="n">
        <f aca="false">D10-D19</f>
        <v>6947</v>
      </c>
      <c r="E27" s="10" t="n">
        <f aca="false">E10-E19</f>
        <v>6452</v>
      </c>
      <c r="F27" s="10" t="n">
        <f aca="false">F10-F19</f>
        <v>-995.58</v>
      </c>
      <c r="G27" s="10" t="n">
        <f aca="false">G10-G19</f>
        <v>4433</v>
      </c>
    </row>
    <row r="30" customFormat="false" ht="15" hidden="false" customHeight="false" outlineLevel="0" collapsed="false">
      <c r="A30" s="6" t="s">
        <v>109</v>
      </c>
    </row>
    <row r="31" customFormat="false" ht="15" hidden="false" customHeight="false" outlineLevel="0" collapsed="false">
      <c r="A31" s="0" t="s">
        <v>110</v>
      </c>
      <c r="B31" s="9" t="n">
        <f aca="false">SUMIF(InventoryData[Status],"Reorder",InventoryData[ReorderCost])</f>
        <v>125193.23</v>
      </c>
    </row>
    <row r="32" customFormat="false" ht="15" hidden="false" customHeight="false" outlineLevel="0" collapsed="false">
      <c r="A32" s="0" t="s">
        <v>111</v>
      </c>
      <c r="B32" s="0" t="n">
        <f aca="false">COUNTIF(InventoryData[Status],"Reorder")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112</v>
      </c>
    </row>
    <row r="3" customFormat="false" ht="15" hidden="false" customHeight="false" outlineLevel="0" collapsed="false">
      <c r="A3" s="6" t="s">
        <v>113</v>
      </c>
      <c r="B3" s="9" t="n">
        <f aca="false">SUM(InventoryData[InventoryValue])</f>
        <v>584887.65</v>
      </c>
      <c r="D3" s="6" t="s">
        <v>114</v>
      </c>
      <c r="G3" s="6" t="s">
        <v>115</v>
      </c>
    </row>
    <row r="4" customFormat="false" ht="15" hidden="false" customHeight="false" outlineLevel="0" collapsed="false">
      <c r="A4" s="6" t="s">
        <v>111</v>
      </c>
      <c r="B4" s="11" t="n">
        <f aca="false">COUNTIF(InventoryData[Status],"Reorder")</f>
        <v>15</v>
      </c>
      <c r="D4" s="2" t="s">
        <v>36</v>
      </c>
      <c r="E4" s="2" t="s">
        <v>116</v>
      </c>
      <c r="G4" s="2" t="s">
        <v>117</v>
      </c>
      <c r="H4" s="2" t="s">
        <v>116</v>
      </c>
    </row>
    <row r="5" customFormat="false" ht="15" hidden="false" customHeight="false" outlineLevel="0" collapsed="false">
      <c r="A5" s="6" t="s">
        <v>118</v>
      </c>
      <c r="B5" s="9" t="n">
        <f aca="false">SUMIF(InventoryData[Status],"Reorder",InventoryData[ReorderCost])</f>
        <v>125193.23</v>
      </c>
      <c r="D5" s="2" t="s">
        <v>2</v>
      </c>
      <c r="E5" s="9" t="n">
        <f aca="false">SUMIFS(POData[TotalCost],POData[Category],D5,POData[MonthKey],"Sep-2026")</f>
        <v>34118.7</v>
      </c>
      <c r="G5" s="12" t="n">
        <v>46113</v>
      </c>
      <c r="H5" s="9" t="n">
        <f aca="false">SUMIFS(POData[TotalCost],POData[MonthKey],"Apr-2026")</f>
        <v>16524.96</v>
      </c>
    </row>
    <row r="6" customFormat="false" ht="15" hidden="false" customHeight="false" outlineLevel="0" collapsed="false">
      <c r="A6" s="6" t="s">
        <v>119</v>
      </c>
      <c r="B6" s="9" t="n">
        <f aca="false">SUM(POData[TotalCost])</f>
        <v>420595.25</v>
      </c>
      <c r="D6" s="2" t="s">
        <v>4</v>
      </c>
      <c r="E6" s="9" t="n">
        <f aca="false">SUMIFS(POData[TotalCost],POData[Category],D6,POData[MonthKey],"Sep-2026")</f>
        <v>7039.38</v>
      </c>
      <c r="G6" s="12" t="n">
        <v>46143</v>
      </c>
      <c r="H6" s="9" t="n">
        <f aca="false">SUMIFS(POData[TotalCost],POData[MonthKey],"May-2026")</f>
        <v>84492.7</v>
      </c>
    </row>
    <row r="7" customFormat="false" ht="15" hidden="false" customHeight="false" outlineLevel="0" collapsed="false">
      <c r="D7" s="0" t="s">
        <v>6</v>
      </c>
      <c r="E7" s="9" t="n">
        <f aca="false">SUMIFS(POData[TotalCost],POData[Category],D7,POData[MonthKey],"Sep-2026")</f>
        <v>17548.96</v>
      </c>
      <c r="G7" s="12" t="n">
        <v>46174</v>
      </c>
      <c r="H7" s="9" t="n">
        <f aca="false">SUMIFS(POData[TotalCost],POData[MonthKey],"Jun-2026")</f>
        <v>78026.47</v>
      </c>
    </row>
    <row r="8" customFormat="false" ht="15" hidden="false" customHeight="false" outlineLevel="0" collapsed="false">
      <c r="D8" s="0" t="s">
        <v>8</v>
      </c>
      <c r="E8" s="9" t="n">
        <f aca="false">SUMIFS(POData[TotalCost],POData[Category],D8,POData[MonthKey],"Sep-2026")</f>
        <v>28092.03</v>
      </c>
      <c r="G8" s="12" t="n">
        <v>46204</v>
      </c>
      <c r="H8" s="9" t="n">
        <f aca="false">SUMIFS(POData[TotalCost],POData[MonthKey],"Jul-2026")</f>
        <v>34425.98</v>
      </c>
    </row>
    <row r="9" customFormat="false" ht="15" hidden="false" customHeight="false" outlineLevel="0" collapsed="false">
      <c r="D9" s="0" t="s">
        <v>10</v>
      </c>
      <c r="E9" s="9" t="n">
        <f aca="false">SUMIFS(POData[TotalCost],POData[Category],D9,POData[MonthKey],"Sep-2026")</f>
        <v>25115.18</v>
      </c>
      <c r="G9" s="12" t="n">
        <v>46235</v>
      </c>
      <c r="H9" s="9" t="n">
        <f aca="false">SUMIFS(POData[TotalCost],POData[MonthKey],"Aug-2026")</f>
        <v>95210.89</v>
      </c>
    </row>
    <row r="10" customFormat="false" ht="15" hidden="false" customHeight="false" outlineLevel="0" collapsed="false">
      <c r="A10" s="13" t="s">
        <v>120</v>
      </c>
      <c r="D10" s="2" t="s">
        <v>12</v>
      </c>
      <c r="E10" s="9" t="n">
        <f aca="false">SUMIFS(POData[TotalCost],POData[Category],D10,POData[MonthKey],"Sep-2026")</f>
        <v>0</v>
      </c>
      <c r="G10" s="12" t="n">
        <v>46266</v>
      </c>
      <c r="H10" s="9" t="n">
        <f aca="false">SUMIFS(POData[TotalCost],POData[MonthKey],"Sep-2026")</f>
        <v>111914.25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2026-09-15T09:35:17Z</dcterms:created>
  <dc:creator>openpyxl</dc:creator>
  <dc:description/>
  <dc:language>en-US</dc:language>
  <cp:lastModifiedBy/>
  <dcterms:modified xsi:type="dcterms:W3CDTF">2026-09-15T09:35:25Z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